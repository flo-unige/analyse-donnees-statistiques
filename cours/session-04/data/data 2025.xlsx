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lehmanan/Library/CloudStorage/OneDrive-UniversitédeGenève/DocumentsSync/aISE/COURS/MUSE/MTH Analyse de données statistiques/data/"/>
    </mc:Choice>
  </mc:AlternateContent>
  <xr:revisionPtr revIDLastSave="0" documentId="13_ncr:1_{56A7F467-B1A2-1A41-AFF5-BE17BCB13140}" xr6:coauthVersionLast="47" xr6:coauthVersionMax="47" xr10:uidLastSave="{00000000-0000-0000-0000-000000000000}"/>
  <bookViews>
    <workbookView xWindow="25140" yWindow="1320" windowWidth="43220" windowHeight="26300" activeTab="1" xr2:uid="{00000000-000D-0000-FFFF-FFFF00000000}"/>
  </bookViews>
  <sheets>
    <sheet name="data" sheetId="1" r:id="rId1"/>
    <sheet name="clean" sheetId="3" r:id="rId2"/>
    <sheet name="legend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2" i="1"/>
</calcChain>
</file>

<file path=xl/sharedStrings.xml><?xml version="1.0" encoding="utf-8"?>
<sst xmlns="http://schemas.openxmlformats.org/spreadsheetml/2006/main" count="1289" uniqueCount="644">
  <si>
    <t>geo</t>
  </si>
  <si>
    <t>name</t>
  </si>
  <si>
    <t>afg</t>
  </si>
  <si>
    <t>Afghanistan</t>
  </si>
  <si>
    <t>43844111</t>
  </si>
  <si>
    <t>ago</t>
  </si>
  <si>
    <t>Angola</t>
  </si>
  <si>
    <t>39040039</t>
  </si>
  <si>
    <t>alb</t>
  </si>
  <si>
    <t>Albania</t>
  </si>
  <si>
    <t>2771508</t>
  </si>
  <si>
    <t>and</t>
  </si>
  <si>
    <t>Andorra</t>
  </si>
  <si>
    <t>82904</t>
  </si>
  <si>
    <t>are</t>
  </si>
  <si>
    <t>UAE</t>
  </si>
  <si>
    <t>11346000</t>
  </si>
  <si>
    <t>arg</t>
  </si>
  <si>
    <t>Argentina</t>
  </si>
  <si>
    <t>45851378</t>
  </si>
  <si>
    <t>arm</t>
  </si>
  <si>
    <t>Armenia</t>
  </si>
  <si>
    <t>2952365</t>
  </si>
  <si>
    <t>atg</t>
  </si>
  <si>
    <t>Antigua and Barbuda</t>
  </si>
  <si>
    <t>94209</t>
  </si>
  <si>
    <t>aus</t>
  </si>
  <si>
    <t>Australia</t>
  </si>
  <si>
    <t>26974026</t>
  </si>
  <si>
    <t>aut</t>
  </si>
  <si>
    <t>Austria</t>
  </si>
  <si>
    <t>9113574</t>
  </si>
  <si>
    <t>aze</t>
  </si>
  <si>
    <t>Azerbaijan</t>
  </si>
  <si>
    <t>10397713</t>
  </si>
  <si>
    <t>bdi</t>
  </si>
  <si>
    <t>Burundi</t>
  </si>
  <si>
    <t>14390003</t>
  </si>
  <si>
    <t>bel</t>
  </si>
  <si>
    <t>Belgium</t>
  </si>
  <si>
    <t>11758603</t>
  </si>
  <si>
    <t>ben</t>
  </si>
  <si>
    <t>Benin</t>
  </si>
  <si>
    <t>14814460</t>
  </si>
  <si>
    <t>bfa</t>
  </si>
  <si>
    <t>Burkina Faso</t>
  </si>
  <si>
    <t>24074580</t>
  </si>
  <si>
    <t>bgd</t>
  </si>
  <si>
    <t>Bangladesh</t>
  </si>
  <si>
    <t>175686899</t>
  </si>
  <si>
    <t>bgr</t>
  </si>
  <si>
    <t>Bulgaria</t>
  </si>
  <si>
    <t>6714560</t>
  </si>
  <si>
    <t>bhr</t>
  </si>
  <si>
    <t>Bahrain</t>
  </si>
  <si>
    <t>1643332</t>
  </si>
  <si>
    <t>bhs</t>
  </si>
  <si>
    <t>Bahamas</t>
  </si>
  <si>
    <t>403033</t>
  </si>
  <si>
    <t>bih</t>
  </si>
  <si>
    <t>Bosnia and Herzegovina</t>
  </si>
  <si>
    <t>3140095</t>
  </si>
  <si>
    <t>blr</t>
  </si>
  <si>
    <t>Belarus</t>
  </si>
  <si>
    <t>8997603</t>
  </si>
  <si>
    <t>blz</t>
  </si>
  <si>
    <t>Belize</t>
  </si>
  <si>
    <t>422924</t>
  </si>
  <si>
    <t>bol</t>
  </si>
  <si>
    <t>Bolivia</t>
  </si>
  <si>
    <t>12581843</t>
  </si>
  <si>
    <t>bra</t>
  </si>
  <si>
    <t>Brazil</t>
  </si>
  <si>
    <t>212812405</t>
  </si>
  <si>
    <t>brb</t>
  </si>
  <si>
    <t>Barbados</t>
  </si>
  <si>
    <t>282623</t>
  </si>
  <si>
    <t>brn</t>
  </si>
  <si>
    <t>Brunei</t>
  </si>
  <si>
    <t>466330</t>
  </si>
  <si>
    <t>btn</t>
  </si>
  <si>
    <t>Bhutan</t>
  </si>
  <si>
    <t>796682</t>
  </si>
  <si>
    <t>bwa</t>
  </si>
  <si>
    <t>Botswana</t>
  </si>
  <si>
    <t>2562122</t>
  </si>
  <si>
    <t>caf</t>
  </si>
  <si>
    <t>Central African Republic</t>
  </si>
  <si>
    <t>5513282</t>
  </si>
  <si>
    <t>can</t>
  </si>
  <si>
    <t>Canada</t>
  </si>
  <si>
    <t>40126723</t>
  </si>
  <si>
    <t>che</t>
  </si>
  <si>
    <t>Switzerland</t>
  </si>
  <si>
    <t>8967407</t>
  </si>
  <si>
    <t>chl</t>
  </si>
  <si>
    <t>Chile</t>
  </si>
  <si>
    <t>19859921</t>
  </si>
  <si>
    <t>chn</t>
  </si>
  <si>
    <t>China</t>
  </si>
  <si>
    <t>1416096094</t>
  </si>
  <si>
    <t>civ</t>
  </si>
  <si>
    <t>Cote d'Ivoire</t>
  </si>
  <si>
    <t>32711547</t>
  </si>
  <si>
    <t>cmr</t>
  </si>
  <si>
    <t>Cameroon</t>
  </si>
  <si>
    <t>29879337</t>
  </si>
  <si>
    <t>cod</t>
  </si>
  <si>
    <t>Congo, Dem. Rep.</t>
  </si>
  <si>
    <t>112832473</t>
  </si>
  <si>
    <t>cog</t>
  </si>
  <si>
    <t>Congo, Rep.</t>
  </si>
  <si>
    <t>6484437</t>
  </si>
  <si>
    <t>col</t>
  </si>
  <si>
    <t>Colombia</t>
  </si>
  <si>
    <t>53425635</t>
  </si>
  <si>
    <t>com</t>
  </si>
  <si>
    <t>Comoros</t>
  </si>
  <si>
    <t>882847</t>
  </si>
  <si>
    <t>cpv</t>
  </si>
  <si>
    <t>Cape Verde</t>
  </si>
  <si>
    <t>527326</t>
  </si>
  <si>
    <t>cri</t>
  </si>
  <si>
    <t>Costa Rica</t>
  </si>
  <si>
    <t>5152950</t>
  </si>
  <si>
    <t>cub</t>
  </si>
  <si>
    <t>Cuba</t>
  </si>
  <si>
    <t>10937203</t>
  </si>
  <si>
    <t>cyp</t>
  </si>
  <si>
    <t>Cyprus</t>
  </si>
  <si>
    <t>1370754</t>
  </si>
  <si>
    <t>cze</t>
  </si>
  <si>
    <t>Czech Republic</t>
  </si>
  <si>
    <t>10609239</t>
  </si>
  <si>
    <t>deu</t>
  </si>
  <si>
    <t>Germany</t>
  </si>
  <si>
    <t>84075075</t>
  </si>
  <si>
    <t>dji</t>
  </si>
  <si>
    <t>Djibouti</t>
  </si>
  <si>
    <t>1184076</t>
  </si>
  <si>
    <t>dma</t>
  </si>
  <si>
    <t>Dominica</t>
  </si>
  <si>
    <t>65871</t>
  </si>
  <si>
    <t>dnk</t>
  </si>
  <si>
    <t>Denmark</t>
  </si>
  <si>
    <t>6002507</t>
  </si>
  <si>
    <t>dom</t>
  </si>
  <si>
    <t>Dominican Republic</t>
  </si>
  <si>
    <t>11520487</t>
  </si>
  <si>
    <t>dza</t>
  </si>
  <si>
    <t>Algeria</t>
  </si>
  <si>
    <t>47435312</t>
  </si>
  <si>
    <t>ecu</t>
  </si>
  <si>
    <t>Ecuador</t>
  </si>
  <si>
    <t>18289896</t>
  </si>
  <si>
    <t>egy</t>
  </si>
  <si>
    <t>Egypt</t>
  </si>
  <si>
    <t>118365995</t>
  </si>
  <si>
    <t>eri</t>
  </si>
  <si>
    <t>Eritrea</t>
  </si>
  <si>
    <t>3607003</t>
  </si>
  <si>
    <t>esp</t>
  </si>
  <si>
    <t>Spain</t>
  </si>
  <si>
    <t>47889958</t>
  </si>
  <si>
    <t>est</t>
  </si>
  <si>
    <t>Estonia</t>
  </si>
  <si>
    <t>1344232</t>
  </si>
  <si>
    <t>eth</t>
  </si>
  <si>
    <t>Ethiopia</t>
  </si>
  <si>
    <t>135472051</t>
  </si>
  <si>
    <t>fin</t>
  </si>
  <si>
    <t>Finland</t>
  </si>
  <si>
    <t>5623329</t>
  </si>
  <si>
    <t>fji</t>
  </si>
  <si>
    <t>Fiji</t>
  </si>
  <si>
    <t>933154</t>
  </si>
  <si>
    <t>fra</t>
  </si>
  <si>
    <t>France</t>
  </si>
  <si>
    <t>66650804</t>
  </si>
  <si>
    <t>fsm</t>
  </si>
  <si>
    <t>Micronesia, Fed. Sts.</t>
  </si>
  <si>
    <t>113683</t>
  </si>
  <si>
    <t>gab</t>
  </si>
  <si>
    <t>Gabon</t>
  </si>
  <si>
    <t>2593130</t>
  </si>
  <si>
    <t>gbr</t>
  </si>
  <si>
    <t>UK</t>
  </si>
  <si>
    <t>69551332</t>
  </si>
  <si>
    <t>Georgia</t>
  </si>
  <si>
    <t>3806671</t>
  </si>
  <si>
    <t>gha</t>
  </si>
  <si>
    <t>Ghana</t>
  </si>
  <si>
    <t>35064272</t>
  </si>
  <si>
    <t>gin</t>
  </si>
  <si>
    <t>Guinea</t>
  </si>
  <si>
    <t>15099727</t>
  </si>
  <si>
    <t>gmb</t>
  </si>
  <si>
    <t>Gambia</t>
  </si>
  <si>
    <t>2822093</t>
  </si>
  <si>
    <t>gnb</t>
  </si>
  <si>
    <t>Guinea-Bissau</t>
  </si>
  <si>
    <t>2249515</t>
  </si>
  <si>
    <t>gnq</t>
  </si>
  <si>
    <t>Equatorial Guinea</t>
  </si>
  <si>
    <t>1938431</t>
  </si>
  <si>
    <t>grc</t>
  </si>
  <si>
    <t>Greece</t>
  </si>
  <si>
    <t>9938844</t>
  </si>
  <si>
    <t>grd</t>
  </si>
  <si>
    <t>Grenada</t>
  </si>
  <si>
    <t>117303</t>
  </si>
  <si>
    <t>gtm</t>
  </si>
  <si>
    <t>Guatemala</t>
  </si>
  <si>
    <t>18687881</t>
  </si>
  <si>
    <t>guy</t>
  </si>
  <si>
    <t>Guyana</t>
  </si>
  <si>
    <t>835986</t>
  </si>
  <si>
    <t>hnd</t>
  </si>
  <si>
    <t>Honduras</t>
  </si>
  <si>
    <t>11005850</t>
  </si>
  <si>
    <t>hos</t>
  </si>
  <si>
    <t>Holy See</t>
  </si>
  <si>
    <t>hrv</t>
  </si>
  <si>
    <t>Croatia</t>
  </si>
  <si>
    <t>3848160</t>
  </si>
  <si>
    <t>hti</t>
  </si>
  <si>
    <t>Haiti</t>
  </si>
  <si>
    <t>11906095</t>
  </si>
  <si>
    <t>hun</t>
  </si>
  <si>
    <t>Hungary</t>
  </si>
  <si>
    <t>9632287</t>
  </si>
  <si>
    <t>idn</t>
  </si>
  <si>
    <t>Indonesia</t>
  </si>
  <si>
    <t>285721236</t>
  </si>
  <si>
    <t>ind</t>
  </si>
  <si>
    <t>India</t>
  </si>
  <si>
    <t>1463865525</t>
  </si>
  <si>
    <t>irl</t>
  </si>
  <si>
    <t>Ireland</t>
  </si>
  <si>
    <t>5308039</t>
  </si>
  <si>
    <t>irn</t>
  </si>
  <si>
    <t>Iran</t>
  </si>
  <si>
    <t>92417681</t>
  </si>
  <si>
    <t>irq</t>
  </si>
  <si>
    <t>Iraq</t>
  </si>
  <si>
    <t>47020774</t>
  </si>
  <si>
    <t>isl</t>
  </si>
  <si>
    <t>Iceland</t>
  </si>
  <si>
    <t>398266</t>
  </si>
  <si>
    <t>isr</t>
  </si>
  <si>
    <t>Israel</t>
  </si>
  <si>
    <t>9517181</t>
  </si>
  <si>
    <t>ita</t>
  </si>
  <si>
    <t>Italy</t>
  </si>
  <si>
    <t>59146260</t>
  </si>
  <si>
    <t>jam</t>
  </si>
  <si>
    <t>Jamaica</t>
  </si>
  <si>
    <t>2837077</t>
  </si>
  <si>
    <t>jor</t>
  </si>
  <si>
    <t>Jordan</t>
  </si>
  <si>
    <t>11520684</t>
  </si>
  <si>
    <t>jpn</t>
  </si>
  <si>
    <t>Japan</t>
  </si>
  <si>
    <t>123103479</t>
  </si>
  <si>
    <t>kaz</t>
  </si>
  <si>
    <t>Kazakhstan</t>
  </si>
  <si>
    <t>20843754</t>
  </si>
  <si>
    <t>ken</t>
  </si>
  <si>
    <t>Kenya</t>
  </si>
  <si>
    <t>57532493</t>
  </si>
  <si>
    <t>kgz</t>
  </si>
  <si>
    <t>Kyrgyz Republic</t>
  </si>
  <si>
    <t>7295034</t>
  </si>
  <si>
    <t>khm</t>
  </si>
  <si>
    <t>Cambodia</t>
  </si>
  <si>
    <t>17847982</t>
  </si>
  <si>
    <t>kir</t>
  </si>
  <si>
    <t>Kiribati</t>
  </si>
  <si>
    <t>136488</t>
  </si>
  <si>
    <t>kna</t>
  </si>
  <si>
    <t>St. Kitts and Nevis</t>
  </si>
  <si>
    <t>46922</t>
  </si>
  <si>
    <t>kor</t>
  </si>
  <si>
    <t>South Korea</t>
  </si>
  <si>
    <t>51667029</t>
  </si>
  <si>
    <t>kwt</t>
  </si>
  <si>
    <t>Kuwait</t>
  </si>
  <si>
    <t>5026078</t>
  </si>
  <si>
    <t>lao</t>
  </si>
  <si>
    <t>Lao</t>
  </si>
  <si>
    <t>7873046</t>
  </si>
  <si>
    <t>lbn</t>
  </si>
  <si>
    <t>Lebanon</t>
  </si>
  <si>
    <t>5849421</t>
  </si>
  <si>
    <t>lbr</t>
  </si>
  <si>
    <t>Liberia</t>
  </si>
  <si>
    <t>5731206</t>
  </si>
  <si>
    <t>lby</t>
  </si>
  <si>
    <t>Libya</t>
  </si>
  <si>
    <t>7458555</t>
  </si>
  <si>
    <t>lca</t>
  </si>
  <si>
    <t>St. Lucia</t>
  </si>
  <si>
    <t>180149</t>
  </si>
  <si>
    <t>lie</t>
  </si>
  <si>
    <t>Liechtenstein</t>
  </si>
  <si>
    <t>40128</t>
  </si>
  <si>
    <t>lka</t>
  </si>
  <si>
    <t>Sri Lanka</t>
  </si>
  <si>
    <t>23229470</t>
  </si>
  <si>
    <t>lso</t>
  </si>
  <si>
    <t>Lesotho</t>
  </si>
  <si>
    <t>2363325</t>
  </si>
  <si>
    <t>ltu</t>
  </si>
  <si>
    <t>Lithuania</t>
  </si>
  <si>
    <t>2830144</t>
  </si>
  <si>
    <t>lux</t>
  </si>
  <si>
    <t>Luxembourg</t>
  </si>
  <si>
    <t>680453</t>
  </si>
  <si>
    <t>lva</t>
  </si>
  <si>
    <t>Latvia</t>
  </si>
  <si>
    <t>1853559</t>
  </si>
  <si>
    <t>mar</t>
  </si>
  <si>
    <t>Morocco</t>
  </si>
  <si>
    <t>38430770</t>
  </si>
  <si>
    <t>mco</t>
  </si>
  <si>
    <t>Monaco</t>
  </si>
  <si>
    <t>38341</t>
  </si>
  <si>
    <t>mda</t>
  </si>
  <si>
    <t>Moldova</t>
  </si>
  <si>
    <t>2996106</t>
  </si>
  <si>
    <t>mdg</t>
  </si>
  <si>
    <t>Madagascar</t>
  </si>
  <si>
    <t>32740678</t>
  </si>
  <si>
    <t>mdv</t>
  </si>
  <si>
    <t>Maldives</t>
  </si>
  <si>
    <t>529676</t>
  </si>
  <si>
    <t>mex</t>
  </si>
  <si>
    <t>Mexico</t>
  </si>
  <si>
    <t>131946900</t>
  </si>
  <si>
    <t>mhl</t>
  </si>
  <si>
    <t>Marshall Islands</t>
  </si>
  <si>
    <t>36282</t>
  </si>
  <si>
    <t>mkd</t>
  </si>
  <si>
    <t>North Macedonia</t>
  </si>
  <si>
    <t>1813791</t>
  </si>
  <si>
    <t>mli</t>
  </si>
  <si>
    <t>Mali</t>
  </si>
  <si>
    <t>25198821</t>
  </si>
  <si>
    <t>mlt</t>
  </si>
  <si>
    <t>Malta</t>
  </si>
  <si>
    <t>545405</t>
  </si>
  <si>
    <t>mmr</t>
  </si>
  <si>
    <t>Myanmar</t>
  </si>
  <si>
    <t>54850648</t>
  </si>
  <si>
    <t>mne</t>
  </si>
  <si>
    <t>Montenegro</t>
  </si>
  <si>
    <t>632729</t>
  </si>
  <si>
    <t>mng</t>
  </si>
  <si>
    <t>Mongolia</t>
  </si>
  <si>
    <t>3517100</t>
  </si>
  <si>
    <t>moz</t>
  </si>
  <si>
    <t>Mozambique</t>
  </si>
  <si>
    <t>35631653</t>
  </si>
  <si>
    <t>mrt</t>
  </si>
  <si>
    <t>Mauritania</t>
  </si>
  <si>
    <t>5315065</t>
  </si>
  <si>
    <t>mus</t>
  </si>
  <si>
    <t>Mauritius</t>
  </si>
  <si>
    <t>1268280</t>
  </si>
  <si>
    <t>mwi</t>
  </si>
  <si>
    <t>Malawi</t>
  </si>
  <si>
    <t>22216120</t>
  </si>
  <si>
    <t>mys</t>
  </si>
  <si>
    <t>Malaysia</t>
  </si>
  <si>
    <t>35977838</t>
  </si>
  <si>
    <t>nam</t>
  </si>
  <si>
    <t>Namibia</t>
  </si>
  <si>
    <t>3092816</t>
  </si>
  <si>
    <t>ner</t>
  </si>
  <si>
    <t>Niger</t>
  </si>
  <si>
    <t>27917831</t>
  </si>
  <si>
    <t>nga</t>
  </si>
  <si>
    <t>Nigeria</t>
  </si>
  <si>
    <t>237527782</t>
  </si>
  <si>
    <t>nic</t>
  </si>
  <si>
    <t>Nicaragua</t>
  </si>
  <si>
    <t>7007502</t>
  </si>
  <si>
    <t>nld</t>
  </si>
  <si>
    <t>Netherlands</t>
  </si>
  <si>
    <t>18346819</t>
  </si>
  <si>
    <t>nor</t>
  </si>
  <si>
    <t>Norway</t>
  </si>
  <si>
    <t>5623071</t>
  </si>
  <si>
    <t>npl</t>
  </si>
  <si>
    <t>Nepal</t>
  </si>
  <si>
    <t>29618118</t>
  </si>
  <si>
    <t>nru</t>
  </si>
  <si>
    <t>Nauru</t>
  </si>
  <si>
    <t>12025</t>
  </si>
  <si>
    <t>nzl</t>
  </si>
  <si>
    <t>New Zealand</t>
  </si>
  <si>
    <t>5251899</t>
  </si>
  <si>
    <t>omn</t>
  </si>
  <si>
    <t>Oman</t>
  </si>
  <si>
    <t>5494691</t>
  </si>
  <si>
    <t>pak</t>
  </si>
  <si>
    <t>Pakistan</t>
  </si>
  <si>
    <t>255219554</t>
  </si>
  <si>
    <t>pan</t>
  </si>
  <si>
    <t>Panama</t>
  </si>
  <si>
    <t>4571189</t>
  </si>
  <si>
    <t>per</t>
  </si>
  <si>
    <t>Peru</t>
  </si>
  <si>
    <t>34576665</t>
  </si>
  <si>
    <t>phl</t>
  </si>
  <si>
    <t>Philippines</t>
  </si>
  <si>
    <t>116786962</t>
  </si>
  <si>
    <t>plw</t>
  </si>
  <si>
    <t>Palau</t>
  </si>
  <si>
    <t>17663</t>
  </si>
  <si>
    <t>png</t>
  </si>
  <si>
    <t>Papua New Guinea</t>
  </si>
  <si>
    <t>10762817</t>
  </si>
  <si>
    <t>pol</t>
  </si>
  <si>
    <t>Poland</t>
  </si>
  <si>
    <t>38140910</t>
  </si>
  <si>
    <t>prk</t>
  </si>
  <si>
    <t>North Korea</t>
  </si>
  <si>
    <t>26571036</t>
  </si>
  <si>
    <t>prt</t>
  </si>
  <si>
    <t>Portugal</t>
  </si>
  <si>
    <t>10411834</t>
  </si>
  <si>
    <t>pry</t>
  </si>
  <si>
    <t>Paraguay</t>
  </si>
  <si>
    <t>7013078</t>
  </si>
  <si>
    <t>pse</t>
  </si>
  <si>
    <t>Palestine</t>
  </si>
  <si>
    <t>5589623</t>
  </si>
  <si>
    <t>qat</t>
  </si>
  <si>
    <t>Qatar</t>
  </si>
  <si>
    <t>3115889</t>
  </si>
  <si>
    <t>rou</t>
  </si>
  <si>
    <t>Romania</t>
  </si>
  <si>
    <t>18908650</t>
  </si>
  <si>
    <t>rus</t>
  </si>
  <si>
    <t>Russia</t>
  </si>
  <si>
    <t>143997393</t>
  </si>
  <si>
    <t>rwa</t>
  </si>
  <si>
    <t>Rwanda</t>
  </si>
  <si>
    <t>14569341</t>
  </si>
  <si>
    <t>sau</t>
  </si>
  <si>
    <t>Saudi Arabia</t>
  </si>
  <si>
    <t>34566328</t>
  </si>
  <si>
    <t>sdn</t>
  </si>
  <si>
    <t>Sudan</t>
  </si>
  <si>
    <t>51662147</t>
  </si>
  <si>
    <t>sen</t>
  </si>
  <si>
    <t>Senegal</t>
  </si>
  <si>
    <t>18931966</t>
  </si>
  <si>
    <t>sgp</t>
  </si>
  <si>
    <t>Singapore</t>
  </si>
  <si>
    <t>5870750</t>
  </si>
  <si>
    <t>slb</t>
  </si>
  <si>
    <t>Solomon Islands</t>
  </si>
  <si>
    <t>838645</t>
  </si>
  <si>
    <t>sle</t>
  </si>
  <si>
    <t>Sierra Leone</t>
  </si>
  <si>
    <t>8819794</t>
  </si>
  <si>
    <t>slv</t>
  </si>
  <si>
    <t>El Salvador</t>
  </si>
  <si>
    <t>6365503</t>
  </si>
  <si>
    <t>smr</t>
  </si>
  <si>
    <t>San Marino</t>
  </si>
  <si>
    <t>33572</t>
  </si>
  <si>
    <t>som</t>
  </si>
  <si>
    <t>Somalia</t>
  </si>
  <si>
    <t>19654739</t>
  </si>
  <si>
    <t>srb</t>
  </si>
  <si>
    <t>Serbia</t>
  </si>
  <si>
    <t>6689039</t>
  </si>
  <si>
    <t>ssd</t>
  </si>
  <si>
    <t>South Sudan</t>
  </si>
  <si>
    <t>12188788</t>
  </si>
  <si>
    <t>stp</t>
  </si>
  <si>
    <t>Sao Tome and Principe</t>
  </si>
  <si>
    <t>240254</t>
  </si>
  <si>
    <t>sur</t>
  </si>
  <si>
    <t>Suriname</t>
  </si>
  <si>
    <t>639850</t>
  </si>
  <si>
    <t>svk</t>
  </si>
  <si>
    <t>Slovak Republic</t>
  </si>
  <si>
    <t>5474881</t>
  </si>
  <si>
    <t>svn</t>
  </si>
  <si>
    <t>Slovenia</t>
  </si>
  <si>
    <t>2117072</t>
  </si>
  <si>
    <t>swe</t>
  </si>
  <si>
    <t>Sweden</t>
  </si>
  <si>
    <t>10656633</t>
  </si>
  <si>
    <t>swz</t>
  </si>
  <si>
    <t>Eswatini</t>
  </si>
  <si>
    <t>1256174</t>
  </si>
  <si>
    <t>syc</t>
  </si>
  <si>
    <t>Seychelles</t>
  </si>
  <si>
    <t>132779</t>
  </si>
  <si>
    <t>syr</t>
  </si>
  <si>
    <t>Syria</t>
  </si>
  <si>
    <t>25620427</t>
  </si>
  <si>
    <t>tcd</t>
  </si>
  <si>
    <t>Chad</t>
  </si>
  <si>
    <t>21003705</t>
  </si>
  <si>
    <t>tgo</t>
  </si>
  <si>
    <t>Togo</t>
  </si>
  <si>
    <t>9721608</t>
  </si>
  <si>
    <t>tha</t>
  </si>
  <si>
    <t>Thailand</t>
  </si>
  <si>
    <t>71619863</t>
  </si>
  <si>
    <t>tjk</t>
  </si>
  <si>
    <t>Tajikistan</t>
  </si>
  <si>
    <t>10786734</t>
  </si>
  <si>
    <t>tkm</t>
  </si>
  <si>
    <t>Turkmenistan</t>
  </si>
  <si>
    <t>7618847</t>
  </si>
  <si>
    <t>tls</t>
  </si>
  <si>
    <t>Timor-Leste</t>
  </si>
  <si>
    <t>1418517</t>
  </si>
  <si>
    <t>ton</t>
  </si>
  <si>
    <t>Tonga</t>
  </si>
  <si>
    <t>103742</t>
  </si>
  <si>
    <t>tto</t>
  </si>
  <si>
    <t>Trinidad and Tobago</t>
  </si>
  <si>
    <t>1511155</t>
  </si>
  <si>
    <t>tun</t>
  </si>
  <si>
    <t>Tunisia</t>
  </si>
  <si>
    <t>12348573</t>
  </si>
  <si>
    <t>tur</t>
  </si>
  <si>
    <t>Turkey</t>
  </si>
  <si>
    <t>87685426</t>
  </si>
  <si>
    <t>tuv</t>
  </si>
  <si>
    <t>Tuvalu</t>
  </si>
  <si>
    <t>9492</t>
  </si>
  <si>
    <t>tza</t>
  </si>
  <si>
    <t>Tanzania</t>
  </si>
  <si>
    <t>70545865</t>
  </si>
  <si>
    <t>uga</t>
  </si>
  <si>
    <t>Uganda</t>
  </si>
  <si>
    <t>51384894</t>
  </si>
  <si>
    <t>ukr</t>
  </si>
  <si>
    <t>Ukraine</t>
  </si>
  <si>
    <t>38980376</t>
  </si>
  <si>
    <t>ury</t>
  </si>
  <si>
    <t>Uruguay</t>
  </si>
  <si>
    <t>3384688</t>
  </si>
  <si>
    <t>usa</t>
  </si>
  <si>
    <t>USA</t>
  </si>
  <si>
    <t>347275807</t>
  </si>
  <si>
    <t>uzb</t>
  </si>
  <si>
    <t>Uzbekistan</t>
  </si>
  <si>
    <t>37053428</t>
  </si>
  <si>
    <t>vct</t>
  </si>
  <si>
    <t>St. Vincent and the Grenadines</t>
  </si>
  <si>
    <t>99924</t>
  </si>
  <si>
    <t>ven</t>
  </si>
  <si>
    <t>Venezuela</t>
  </si>
  <si>
    <t>28516896</t>
  </si>
  <si>
    <t>vnm</t>
  </si>
  <si>
    <t>Vietnam</t>
  </si>
  <si>
    <t>101598527</t>
  </si>
  <si>
    <t>vut</t>
  </si>
  <si>
    <t>Vanuatu</t>
  </si>
  <si>
    <t>335169</t>
  </si>
  <si>
    <t>wsm</t>
  </si>
  <si>
    <t>Samoa</t>
  </si>
  <si>
    <t>219306</t>
  </si>
  <si>
    <t>yem</t>
  </si>
  <si>
    <t>Yemen</t>
  </si>
  <si>
    <t>41773878</t>
  </si>
  <si>
    <t>zaf</t>
  </si>
  <si>
    <t>South Africa</t>
  </si>
  <si>
    <t>64747319</t>
  </si>
  <si>
    <t>zmb</t>
  </si>
  <si>
    <t>Zambia</t>
  </si>
  <si>
    <t>21913874</t>
  </si>
  <si>
    <t>zwe</t>
  </si>
  <si>
    <t>Zimbabwe</t>
  </si>
  <si>
    <t>16950795</t>
  </si>
  <si>
    <t>gdp_pcap</t>
  </si>
  <si>
    <t>ind_water</t>
  </si>
  <si>
    <t>agr_water</t>
  </si>
  <si>
    <t>prec</t>
  </si>
  <si>
    <t>primary_forest_area</t>
  </si>
  <si>
    <t>en_mam</t>
  </si>
  <si>
    <t>en_fsh</t>
  </si>
  <si>
    <t>en_brd</t>
  </si>
  <si>
    <t>en_thrd</t>
  </si>
  <si>
    <t>PA_land</t>
  </si>
  <si>
    <t>PA_marine</t>
  </si>
  <si>
    <t>definition</t>
  </si>
  <si>
    <t>unit</t>
  </si>
  <si>
    <t>area_km2</t>
  </si>
  <si>
    <t>hydropower</t>
  </si>
  <si>
    <t>Data can be reused freely but please attribute the original data source (where applicable) and Gapminder.</t>
  </si>
  <si>
    <t>Example: FREE DATA FROM WORLD BANK VIA GAPMINDER.ORG, CC-BY LICENSE</t>
  </si>
  <si>
    <t>country abbreviation</t>
  </si>
  <si>
    <t>country name</t>
  </si>
  <si>
    <t>Total population 2025</t>
  </si>
  <si>
    <t>DGP per capita</t>
  </si>
  <si>
    <t>total terrestrial area</t>
  </si>
  <si>
    <t>Total annual precipitation</t>
  </si>
  <si>
    <t>Total primary forest area</t>
  </si>
  <si>
    <t>% of mammals endangered</t>
  </si>
  <si>
    <t>% of fish endangered</t>
  </si>
  <si>
    <t>% of birds endangered</t>
  </si>
  <si>
    <t>% of plants endangered</t>
  </si>
  <si>
    <t>% of land protected</t>
  </si>
  <si>
    <t>% of sea protected</t>
  </si>
  <si>
    <t>Life expectency at birth</t>
  </si>
  <si>
    <t>year</t>
  </si>
  <si>
    <t>people</t>
  </si>
  <si>
    <t>dollars/capita</t>
  </si>
  <si>
    <t>km2</t>
  </si>
  <si>
    <t>mm/year</t>
  </si>
  <si>
    <t>%</t>
  </si>
  <si>
    <t>en_plt</t>
  </si>
  <si>
    <t>% Industrial water withdrawal</t>
  </si>
  <si>
    <t>% Agricultural water withdrawal</t>
  </si>
  <si>
    <t>Total water withdrawal</t>
  </si>
  <si>
    <t>km3</t>
  </si>
  <si>
    <t>ha</t>
  </si>
  <si>
    <t>source</t>
  </si>
  <si>
    <t>worldbank</t>
  </si>
  <si>
    <t>CO2 emission per capita</t>
  </si>
  <si>
    <t>tons/capita</t>
  </si>
  <si>
    <t>toe/year</t>
  </si>
  <si>
    <t>total hydro energy production, tons of oil equivalent</t>
  </si>
  <si>
    <t>region</t>
  </si>
  <si>
    <t>continent</t>
  </si>
  <si>
    <t>pop</t>
  </si>
  <si>
    <t>lex</t>
  </si>
  <si>
    <t>co2</t>
  </si>
  <si>
    <t>wat_with</t>
  </si>
  <si>
    <t>asia</t>
  </si>
  <si>
    <t>africa</t>
  </si>
  <si>
    <t>europe</t>
  </si>
  <si>
    <t>americas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</si>
</sst>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222222"/>
      <name val="Helvetica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rgb="FF9BBB59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1" applyFont="1"/>
    <xf numFmtId="0" fontId="8" fillId="0" borderId="0" xfId="0" applyFont="1"/>
    <xf numFmtId="2" fontId="1" fillId="5" borderId="0" xfId="0" applyNumberFormat="1" applyFont="1" applyFill="1" applyAlignment="1">
      <alignment horizontal="right"/>
    </xf>
    <xf numFmtId="2" fontId="1" fillId="4" borderId="0" xfId="0" applyNumberFormat="1" applyFont="1" applyFill="1" applyAlignment="1">
      <alignment horizontal="right"/>
    </xf>
    <xf numFmtId="2" fontId="1" fillId="3" borderId="0" xfId="0" applyNumberFormat="1" applyFont="1" applyFill="1" applyAlignment="1">
      <alignment horizontal="right"/>
    </xf>
    <xf numFmtId="2" fontId="1" fillId="2" borderId="0" xfId="0" applyNumberFormat="1" applyFont="1" applyFill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2" fontId="1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hmanan/Library/CloudStorage/OneDrive-Universite&#769;deGene&#768;ve/DocumentsSync/aISE/COURS/MUSE/MTH%20Analyse%20de%20donne&#769;es%20statistiques/data/Impact_climatique_2021.xlsx" TargetMode="External"/><Relationship Id="rId1" Type="http://schemas.openxmlformats.org/officeDocument/2006/relationships/externalLinkPath" Target="Impact_climatique_2021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Downloads/lex.xlsx" TargetMode="External"/><Relationship Id="rId2" Type="http://schemas.openxmlformats.org/officeDocument/2006/relationships/externalLinkPath" Target="/Users/lehmanan/Downloads/lex.xlsx" TargetMode="External"/><Relationship Id="rId1" Type="http://schemas.openxmlformats.org/officeDocument/2006/relationships/externalLinkPath" Target="/Users/lehmanan/Downloads/lex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hmanan/Library/CloudStorage/OneDrive-Universite&#769;deGene&#768;ve/DocumentsSync/aISE/COURS/MUSE/MTH%20Analyse%20de%20donne&#769;es%20statistiques/data/gdp_pcap.xlsx" TargetMode="External"/><Relationship Id="rId1" Type="http://schemas.openxmlformats.org/officeDocument/2006/relationships/externalLinkPath" Target="gdp_pcap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hmanan/Library/CloudStorage/OneDrive-Universite&#769;deGene&#768;ve/DocumentsSync/aISE/COURS/MUSE/MTH%20Analyse%20de%20donne&#769;es%20statistiques/data/ag_lnd_totl_k2.xlsx" TargetMode="External"/><Relationship Id="rId1" Type="http://schemas.openxmlformats.org/officeDocument/2006/relationships/externalLinkPath" Target="ag_lnd_totl_k2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unigech-my.sharepoint.com/Users/lehmanan/Library/CloudStorage/OneDrive-Universite&#769;deGene&#768;ve/DocumentsSync/aISE/COURS/MUSE/MTH%20Analyse%20de%20donne&#769;es%20statistiques/data/industrial_water_withdrawal_percent_of_total.xlsx" TargetMode="External"/><Relationship Id="rId2" Type="http://schemas.microsoft.com/office/2019/04/relationships/externalLinkLongPath" Target="https://unigech-my.sharepoint.com/Users/lehmanan/Library/CloudStorage/OneDrive-Universite&#769;deGene&#768;ve/DocumentsSync/aISE/COURS/MUSE/MTH%20Analyse%20de%20donne&#769;es%20statistiques/data/industrial_water_withdrawal_percent_of_total.xlsx?A81E3605" TargetMode="External"/><Relationship Id="rId1" Type="http://schemas.openxmlformats.org/officeDocument/2006/relationships/externalLinkPath" Target="file:///A81E3605/industrial_water_withdrawal_percent_of_total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unigech-my.sharepoint.com/Users/lehmanan/Library/CloudStorage/OneDrive-Universite&#769;deGene&#768;ve/DocumentsSync/aISE/COURS/MUSE/MTH%20Analyse%20de%20donne&#769;es%20statistiques/data/agricultural_water_withdrawal_percent_of_total.xlsx" TargetMode="External"/><Relationship Id="rId2" Type="http://schemas.microsoft.com/office/2019/04/relationships/externalLinkLongPath" Target="https://unigech-my.sharepoint.com/Users/lehmanan/Library/CloudStorage/OneDrive-Universite&#769;deGene&#768;ve/DocumentsSync/aISE/COURS/MUSE/MTH%20Analyse%20de%20donne&#769;es%20statistiques/data/agricultural_water_withdrawal_percent_of_total.xlsx?A81E3605" TargetMode="External"/><Relationship Id="rId1" Type="http://schemas.openxmlformats.org/officeDocument/2006/relationships/externalLinkPath" Target="file:///A81E3605/agricultural_water_withdrawal_percent_of_total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hmanan/Library/CloudStorage/OneDrive-Universite&#769;deGene&#768;ve/DocumentsSync/aISE/COURS/MUSE/MTH%20Analyse%20de%20donne&#769;es%20statistiques/data/total_water_withdrawal_billion_cu_meters.xlsx" TargetMode="External"/><Relationship Id="rId1" Type="http://schemas.openxmlformats.org/officeDocument/2006/relationships/externalLinkPath" Target="total_water_withdrawal_billion_cu_meter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hmanan/Library/CloudStorage/OneDrive-Universite&#769;deGene&#768;ve/DocumentsSync/aISE/COURS/MUSE/MTH%20Analyse%20de%20donne&#769;es%20statistiques/data/hydro_power_generation_total.xlsx" TargetMode="External"/><Relationship Id="rId1" Type="http://schemas.openxmlformats.org/officeDocument/2006/relationships/externalLinkPath" Target="hydro_power_generation_total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hmanan/Library/CloudStorage/OneDrive-Universite&#769;deGene&#768;ve/DocumentsSync/aISE/COURS/MUSE/MTH%20Analyse%20de%20donne&#769;es%20statistiques/data/ag_lnd_prcp_mm.xlsx" TargetMode="External"/><Relationship Id="rId1" Type="http://schemas.openxmlformats.org/officeDocument/2006/relationships/externalLinkPath" Target="ag_lnd_prcp_mm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hmanan/Library/CloudStorage/OneDrive-Universite&#769;deGene&#768;ve/DocumentsSync/aISE/COURS/MUSE/MTH%20Analyse%20de%20donne&#769;es%20statistiques/data/co2_pcap_cons.xlsx" TargetMode="External"/><Relationship Id="rId1" Type="http://schemas.openxmlformats.org/officeDocument/2006/relationships/externalLinkPath" Target="co2_pcap_con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hmanan/Library/CloudStorage/OneDrive-Universite&#769;deGene&#768;ve/DocumentsSync/aISE/COURS/MUSE/MTH%20Analyse%20de%20donne&#769;es%20statistiques/data/primary_forest_area_ha.xlsx" TargetMode="External"/><Relationship Id="rId1" Type="http://schemas.openxmlformats.org/officeDocument/2006/relationships/externalLinkPath" Target="primary_forest_area_h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hmanan/Library/CloudStorage/OneDrive-Universite&#769;deGene&#768;ve/DocumentsSync/aISE/COURS/MUSE/MTH%20Analyse%20de%20donne&#769;es%20statistiques/data/en_mam_thrd_no.xlsx" TargetMode="External"/><Relationship Id="rId1" Type="http://schemas.openxmlformats.org/officeDocument/2006/relationships/externalLinkPath" Target="en_mam_thrd_no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hmanan/Library/CloudStorage/OneDrive-Universite&#769;deGene&#768;ve/DocumentsSync/aISE/COURS/MUSE/MTH%20Analyse%20de%20donne&#769;es%20statistiques/data/en_fsh_thrd_no.xlsx" TargetMode="External"/><Relationship Id="rId1" Type="http://schemas.openxmlformats.org/officeDocument/2006/relationships/externalLinkPath" Target="en_fsh_thrd_no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hmanan/Library/CloudStorage/OneDrive-Universite&#769;deGene&#768;ve/DocumentsSync/aISE/COURS/MUSE/MTH%20Analyse%20de%20donne&#769;es%20statistiques/data/en_bir_thrd_no.xlsx" TargetMode="External"/><Relationship Id="rId1" Type="http://schemas.openxmlformats.org/officeDocument/2006/relationships/externalLinkPath" Target="en_bir_thrd_no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hmanan/Library/CloudStorage/OneDrive-Universite&#769;deGene&#768;ve/DocumentsSync/aISE/COURS/MUSE/MTH%20Analyse%20de%20donne&#769;es%20statistiques/data/en_hpt_thrd_no.xlsx" TargetMode="External"/><Relationship Id="rId1" Type="http://schemas.openxmlformats.org/officeDocument/2006/relationships/externalLinkPath" Target="en_hpt_thrd_no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hmanan/Library/CloudStorage/OneDrive-Universite&#769;deGene&#768;ve/DocumentsSync/aISE/COURS/MUSE/MTH%20Analyse%20de%20donne&#769;es%20statistiques/data/er_lnd_ptld_zs.xlsx" TargetMode="External"/><Relationship Id="rId1" Type="http://schemas.openxmlformats.org/officeDocument/2006/relationships/externalLinkPath" Target="er_lnd_ptld_zs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hmanan/Library/CloudStorage/OneDrive-Universite&#769;deGene&#768;ve/DocumentsSync/aISE/COURS/MUSE/MTH%20Analyse%20de%20donne&#769;es%20statistiques/data/er_mrn_ptmr_zs.xlsx" TargetMode="External"/><Relationship Id="rId1" Type="http://schemas.openxmlformats.org/officeDocument/2006/relationships/externalLinkPath" Target="er_mrn_ptmr_z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1"/>
    </sheetNames>
    <sheetDataSet>
      <sheetData sheetId="0">
        <row r="2">
          <cell r="A2" t="str">
            <v>afg</v>
          </cell>
          <cell r="C2" t="str">
            <v>asia</v>
          </cell>
        </row>
        <row r="3">
          <cell r="A3" t="str">
            <v>alb</v>
          </cell>
          <cell r="C3" t="str">
            <v>europe</v>
          </cell>
        </row>
        <row r="4">
          <cell r="A4" t="str">
            <v>dza</v>
          </cell>
          <cell r="C4" t="str">
            <v>africa</v>
          </cell>
        </row>
        <row r="5">
          <cell r="A5" t="str">
            <v>and</v>
          </cell>
          <cell r="C5" t="str">
            <v>europe</v>
          </cell>
        </row>
        <row r="6">
          <cell r="A6" t="str">
            <v>ago</v>
          </cell>
          <cell r="C6" t="str">
            <v>africa</v>
          </cell>
        </row>
        <row r="7">
          <cell r="A7" t="str">
            <v>atg</v>
          </cell>
          <cell r="C7" t="str">
            <v>americas</v>
          </cell>
        </row>
        <row r="8">
          <cell r="A8" t="str">
            <v>arg</v>
          </cell>
          <cell r="C8" t="str">
            <v>americas</v>
          </cell>
        </row>
        <row r="9">
          <cell r="A9" t="str">
            <v>arm</v>
          </cell>
          <cell r="C9" t="str">
            <v>europe</v>
          </cell>
        </row>
        <row r="10">
          <cell r="A10" t="str">
            <v>aus</v>
          </cell>
          <cell r="C10" t="str">
            <v>asia</v>
          </cell>
        </row>
        <row r="11">
          <cell r="A11" t="str">
            <v>aut</v>
          </cell>
          <cell r="C11" t="str">
            <v>europe</v>
          </cell>
        </row>
        <row r="12">
          <cell r="A12" t="str">
            <v>aze</v>
          </cell>
          <cell r="C12" t="str">
            <v>europe</v>
          </cell>
        </row>
        <row r="13">
          <cell r="A13" t="str">
            <v>bhs</v>
          </cell>
          <cell r="C13" t="str">
            <v>americas</v>
          </cell>
        </row>
        <row r="14">
          <cell r="A14" t="str">
            <v>bhr</v>
          </cell>
          <cell r="C14" t="str">
            <v>asia</v>
          </cell>
        </row>
        <row r="15">
          <cell r="A15" t="str">
            <v>bgd</v>
          </cell>
          <cell r="C15" t="str">
            <v>asia</v>
          </cell>
        </row>
        <row r="16">
          <cell r="A16" t="str">
            <v>brb</v>
          </cell>
          <cell r="C16" t="str">
            <v>americas</v>
          </cell>
        </row>
        <row r="17">
          <cell r="A17" t="str">
            <v>blr</v>
          </cell>
          <cell r="C17" t="str">
            <v>europe</v>
          </cell>
        </row>
        <row r="18">
          <cell r="A18" t="str">
            <v>bel</v>
          </cell>
          <cell r="C18" t="str">
            <v>europe</v>
          </cell>
        </row>
        <row r="19">
          <cell r="A19" t="str">
            <v>blz</v>
          </cell>
          <cell r="C19" t="str">
            <v>americas</v>
          </cell>
        </row>
        <row r="20">
          <cell r="A20" t="str">
            <v>ben</v>
          </cell>
          <cell r="C20" t="str">
            <v>africa</v>
          </cell>
        </row>
        <row r="21">
          <cell r="A21" t="str">
            <v>btn</v>
          </cell>
          <cell r="C21" t="str">
            <v>asia</v>
          </cell>
        </row>
        <row r="22">
          <cell r="A22" t="str">
            <v>bol</v>
          </cell>
          <cell r="C22" t="str">
            <v>americas</v>
          </cell>
        </row>
        <row r="23">
          <cell r="A23" t="str">
            <v>bih</v>
          </cell>
          <cell r="C23" t="str">
            <v>europe</v>
          </cell>
        </row>
        <row r="24">
          <cell r="A24" t="str">
            <v>bwa</v>
          </cell>
          <cell r="C24" t="str">
            <v>africa</v>
          </cell>
        </row>
        <row r="25">
          <cell r="A25" t="str">
            <v>bra</v>
          </cell>
          <cell r="C25" t="str">
            <v>americas</v>
          </cell>
        </row>
        <row r="26">
          <cell r="A26" t="str">
            <v>brn</v>
          </cell>
          <cell r="C26" t="str">
            <v>asia</v>
          </cell>
        </row>
        <row r="27">
          <cell r="A27" t="str">
            <v>bgr</v>
          </cell>
          <cell r="C27" t="str">
            <v>europe</v>
          </cell>
        </row>
        <row r="28">
          <cell r="A28" t="str">
            <v>bfa</v>
          </cell>
          <cell r="C28" t="str">
            <v>africa</v>
          </cell>
        </row>
        <row r="29">
          <cell r="A29" t="str">
            <v>bdi</v>
          </cell>
          <cell r="C29" t="str">
            <v>africa</v>
          </cell>
        </row>
        <row r="30">
          <cell r="A30" t="str">
            <v>khm</v>
          </cell>
          <cell r="C30" t="str">
            <v>asia</v>
          </cell>
        </row>
        <row r="31">
          <cell r="A31" t="str">
            <v>cmr</v>
          </cell>
          <cell r="C31" t="str">
            <v>africa</v>
          </cell>
        </row>
        <row r="32">
          <cell r="A32" t="str">
            <v>can</v>
          </cell>
          <cell r="C32" t="str">
            <v>americas</v>
          </cell>
        </row>
        <row r="33">
          <cell r="A33" t="str">
            <v>cpv</v>
          </cell>
          <cell r="C33" t="str">
            <v>africa</v>
          </cell>
        </row>
        <row r="34">
          <cell r="A34" t="str">
            <v>caf</v>
          </cell>
          <cell r="C34" t="str">
            <v>africa</v>
          </cell>
        </row>
        <row r="35">
          <cell r="A35" t="str">
            <v>tcd</v>
          </cell>
          <cell r="C35" t="str">
            <v>africa</v>
          </cell>
        </row>
        <row r="36">
          <cell r="A36" t="str">
            <v>chl</v>
          </cell>
          <cell r="C36" t="str">
            <v>americas</v>
          </cell>
        </row>
        <row r="37">
          <cell r="A37" t="str">
            <v>chn</v>
          </cell>
          <cell r="C37" t="str">
            <v>asia</v>
          </cell>
        </row>
        <row r="38">
          <cell r="A38" t="str">
            <v>col</v>
          </cell>
          <cell r="C38" t="str">
            <v>americas</v>
          </cell>
        </row>
        <row r="39">
          <cell r="A39" t="str">
            <v>com</v>
          </cell>
          <cell r="C39" t="str">
            <v>africa</v>
          </cell>
        </row>
        <row r="40">
          <cell r="A40" t="str">
            <v>cod</v>
          </cell>
          <cell r="C40" t="str">
            <v>africa</v>
          </cell>
        </row>
        <row r="41">
          <cell r="A41" t="str">
            <v>cog</v>
          </cell>
          <cell r="C41" t="str">
            <v>africa</v>
          </cell>
        </row>
        <row r="42">
          <cell r="A42" t="str">
            <v>cri</v>
          </cell>
          <cell r="C42" t="str">
            <v>americas</v>
          </cell>
        </row>
        <row r="43">
          <cell r="A43" t="str">
            <v>civ</v>
          </cell>
          <cell r="C43" t="str">
            <v>africa</v>
          </cell>
        </row>
        <row r="44">
          <cell r="A44" t="str">
            <v>hrv</v>
          </cell>
          <cell r="C44" t="str">
            <v>europe</v>
          </cell>
        </row>
        <row r="45">
          <cell r="A45" t="str">
            <v>cub</v>
          </cell>
          <cell r="C45" t="str">
            <v>americas</v>
          </cell>
        </row>
        <row r="46">
          <cell r="A46" t="str">
            <v>cyp</v>
          </cell>
          <cell r="C46" t="str">
            <v>europe</v>
          </cell>
        </row>
        <row r="47">
          <cell r="A47" t="str">
            <v>cze</v>
          </cell>
          <cell r="C47" t="str">
            <v>europe</v>
          </cell>
        </row>
        <row r="48">
          <cell r="A48" t="str">
            <v>dnk</v>
          </cell>
          <cell r="C48" t="str">
            <v>europe</v>
          </cell>
        </row>
        <row r="49">
          <cell r="A49" t="str">
            <v>dji</v>
          </cell>
          <cell r="C49" t="str">
            <v>africa</v>
          </cell>
        </row>
        <row r="50">
          <cell r="A50" t="str">
            <v>dma</v>
          </cell>
          <cell r="C50" t="str">
            <v>americas</v>
          </cell>
        </row>
        <row r="51">
          <cell r="A51" t="str">
            <v>dom</v>
          </cell>
          <cell r="C51" t="str">
            <v>americas</v>
          </cell>
        </row>
        <row r="52">
          <cell r="A52" t="str">
            <v>ecu</v>
          </cell>
          <cell r="C52" t="str">
            <v>americas</v>
          </cell>
        </row>
        <row r="53">
          <cell r="A53" t="str">
            <v>egy</v>
          </cell>
          <cell r="C53" t="str">
            <v>africa</v>
          </cell>
        </row>
        <row r="54">
          <cell r="A54" t="str">
            <v>slv</v>
          </cell>
          <cell r="C54" t="str">
            <v>americas</v>
          </cell>
        </row>
        <row r="55">
          <cell r="A55" t="str">
            <v>gnq</v>
          </cell>
          <cell r="C55" t="str">
            <v>africa</v>
          </cell>
        </row>
        <row r="56">
          <cell r="A56" t="str">
            <v>eri</v>
          </cell>
          <cell r="C56" t="str">
            <v>africa</v>
          </cell>
        </row>
        <row r="57">
          <cell r="A57" t="str">
            <v>est</v>
          </cell>
          <cell r="C57" t="str">
            <v>europe</v>
          </cell>
        </row>
        <row r="58">
          <cell r="A58" t="str">
            <v>swz</v>
          </cell>
          <cell r="C58" t="str">
            <v>africa</v>
          </cell>
        </row>
        <row r="59">
          <cell r="A59" t="str">
            <v>eth</v>
          </cell>
          <cell r="C59" t="str">
            <v>africa</v>
          </cell>
        </row>
        <row r="60">
          <cell r="A60" t="str">
            <v>fji</v>
          </cell>
          <cell r="C60" t="str">
            <v>asia</v>
          </cell>
        </row>
        <row r="61">
          <cell r="A61" t="str">
            <v>fin</v>
          </cell>
          <cell r="C61" t="str">
            <v>europe</v>
          </cell>
        </row>
        <row r="62">
          <cell r="A62" t="str">
            <v>fra</v>
          </cell>
          <cell r="C62" t="str">
            <v>europe</v>
          </cell>
        </row>
        <row r="63">
          <cell r="A63" t="str">
            <v>gab</v>
          </cell>
          <cell r="C63" t="str">
            <v>africa</v>
          </cell>
        </row>
        <row r="64">
          <cell r="A64" t="str">
            <v>gmb</v>
          </cell>
          <cell r="C64" t="str">
            <v>africa</v>
          </cell>
        </row>
        <row r="65">
          <cell r="A65" t="str">
            <v>geo</v>
          </cell>
          <cell r="C65" t="str">
            <v>europe</v>
          </cell>
        </row>
        <row r="66">
          <cell r="A66" t="str">
            <v>deu</v>
          </cell>
          <cell r="C66" t="str">
            <v>europe</v>
          </cell>
        </row>
        <row r="67">
          <cell r="A67" t="str">
            <v>gha</v>
          </cell>
          <cell r="C67" t="str">
            <v>africa</v>
          </cell>
        </row>
        <row r="68">
          <cell r="A68" t="str">
            <v>grc</v>
          </cell>
          <cell r="C68" t="str">
            <v>europe</v>
          </cell>
        </row>
        <row r="69">
          <cell r="A69" t="str">
            <v>grd</v>
          </cell>
          <cell r="C69" t="str">
            <v>americas</v>
          </cell>
        </row>
        <row r="70">
          <cell r="A70" t="str">
            <v>gtm</v>
          </cell>
          <cell r="C70" t="str">
            <v>americas</v>
          </cell>
        </row>
        <row r="71">
          <cell r="A71" t="str">
            <v>gin</v>
          </cell>
          <cell r="C71" t="str">
            <v>africa</v>
          </cell>
        </row>
        <row r="72">
          <cell r="A72" t="str">
            <v>gnb</v>
          </cell>
          <cell r="C72" t="str">
            <v>africa</v>
          </cell>
        </row>
        <row r="73">
          <cell r="A73" t="str">
            <v>guy</v>
          </cell>
          <cell r="C73" t="str">
            <v>americas</v>
          </cell>
        </row>
        <row r="74">
          <cell r="A74" t="str">
            <v>hti</v>
          </cell>
          <cell r="C74" t="str">
            <v>americas</v>
          </cell>
        </row>
        <row r="75">
          <cell r="A75" t="str">
            <v>hos</v>
          </cell>
          <cell r="C75" t="str">
            <v>europe</v>
          </cell>
        </row>
        <row r="76">
          <cell r="A76" t="str">
            <v>hnd</v>
          </cell>
          <cell r="C76" t="str">
            <v>americas</v>
          </cell>
        </row>
        <row r="77">
          <cell r="A77" t="str">
            <v>hun</v>
          </cell>
          <cell r="C77" t="str">
            <v>europe</v>
          </cell>
        </row>
        <row r="78">
          <cell r="A78" t="str">
            <v>isl</v>
          </cell>
          <cell r="C78" t="str">
            <v>europe</v>
          </cell>
        </row>
        <row r="79">
          <cell r="A79" t="str">
            <v>ind</v>
          </cell>
          <cell r="C79" t="str">
            <v>asia</v>
          </cell>
        </row>
        <row r="80">
          <cell r="A80" t="str">
            <v>idn</v>
          </cell>
          <cell r="C80" t="str">
            <v>asia</v>
          </cell>
        </row>
        <row r="81">
          <cell r="A81" t="str">
            <v>irn</v>
          </cell>
          <cell r="C81" t="str">
            <v>asia</v>
          </cell>
        </row>
        <row r="82">
          <cell r="A82" t="str">
            <v>irq</v>
          </cell>
          <cell r="C82" t="str">
            <v>asia</v>
          </cell>
        </row>
        <row r="83">
          <cell r="A83" t="str">
            <v>irl</v>
          </cell>
          <cell r="C83" t="str">
            <v>europe</v>
          </cell>
        </row>
        <row r="84">
          <cell r="A84" t="str">
            <v>isr</v>
          </cell>
          <cell r="C84" t="str">
            <v>asia</v>
          </cell>
        </row>
        <row r="85">
          <cell r="A85" t="str">
            <v>ita</v>
          </cell>
          <cell r="C85" t="str">
            <v>europe</v>
          </cell>
        </row>
        <row r="86">
          <cell r="A86" t="str">
            <v>jam</v>
          </cell>
          <cell r="C86" t="str">
            <v>americas</v>
          </cell>
        </row>
        <row r="87">
          <cell r="A87" t="str">
            <v>jpn</v>
          </cell>
          <cell r="C87" t="str">
            <v>asia</v>
          </cell>
        </row>
        <row r="88">
          <cell r="A88" t="str">
            <v>jor</v>
          </cell>
          <cell r="C88" t="str">
            <v>asia</v>
          </cell>
        </row>
        <row r="89">
          <cell r="A89" t="str">
            <v>kaz</v>
          </cell>
          <cell r="C89" t="str">
            <v>asia</v>
          </cell>
        </row>
        <row r="90">
          <cell r="A90" t="str">
            <v>ken</v>
          </cell>
          <cell r="C90" t="str">
            <v>africa</v>
          </cell>
        </row>
        <row r="91">
          <cell r="A91" t="str">
            <v>kir</v>
          </cell>
          <cell r="C91" t="str">
            <v>asia</v>
          </cell>
        </row>
        <row r="92">
          <cell r="A92" t="str">
            <v>kwt</v>
          </cell>
          <cell r="C92" t="str">
            <v>asia</v>
          </cell>
        </row>
        <row r="93">
          <cell r="A93" t="str">
            <v>kgz</v>
          </cell>
          <cell r="C93" t="str">
            <v>asia</v>
          </cell>
        </row>
        <row r="94">
          <cell r="A94" t="str">
            <v>lao</v>
          </cell>
          <cell r="C94" t="str">
            <v>asia</v>
          </cell>
        </row>
        <row r="95">
          <cell r="A95" t="str">
            <v>lva</v>
          </cell>
          <cell r="C95" t="str">
            <v>europe</v>
          </cell>
        </row>
        <row r="96">
          <cell r="A96" t="str">
            <v>lbn</v>
          </cell>
          <cell r="C96" t="str">
            <v>asia</v>
          </cell>
        </row>
        <row r="97">
          <cell r="A97" t="str">
            <v>lso</v>
          </cell>
          <cell r="C97" t="str">
            <v>africa</v>
          </cell>
        </row>
        <row r="98">
          <cell r="A98" t="str">
            <v>lbr</v>
          </cell>
          <cell r="C98" t="str">
            <v>africa</v>
          </cell>
        </row>
        <row r="99">
          <cell r="A99" t="str">
            <v>lby</v>
          </cell>
          <cell r="C99" t="str">
            <v>africa</v>
          </cell>
        </row>
        <row r="100">
          <cell r="A100" t="str">
            <v>lie</v>
          </cell>
          <cell r="C100" t="str">
            <v>europe</v>
          </cell>
        </row>
        <row r="101">
          <cell r="A101" t="str">
            <v>ltu</v>
          </cell>
          <cell r="C101" t="str">
            <v>europe</v>
          </cell>
        </row>
        <row r="102">
          <cell r="A102" t="str">
            <v>lux</v>
          </cell>
          <cell r="C102" t="str">
            <v>europe</v>
          </cell>
        </row>
        <row r="103">
          <cell r="A103" t="str">
            <v>mdg</v>
          </cell>
          <cell r="C103" t="str">
            <v>africa</v>
          </cell>
        </row>
        <row r="104">
          <cell r="A104" t="str">
            <v>mwi</v>
          </cell>
          <cell r="C104" t="str">
            <v>africa</v>
          </cell>
        </row>
        <row r="105">
          <cell r="A105" t="str">
            <v>mys</v>
          </cell>
          <cell r="C105" t="str">
            <v>asia</v>
          </cell>
        </row>
        <row r="106">
          <cell r="A106" t="str">
            <v>mdv</v>
          </cell>
          <cell r="C106" t="str">
            <v>asia</v>
          </cell>
        </row>
        <row r="107">
          <cell r="A107" t="str">
            <v>mli</v>
          </cell>
          <cell r="C107" t="str">
            <v>africa</v>
          </cell>
        </row>
        <row r="108">
          <cell r="A108" t="str">
            <v>mlt</v>
          </cell>
          <cell r="C108" t="str">
            <v>europe</v>
          </cell>
        </row>
        <row r="109">
          <cell r="A109" t="str">
            <v>mhl</v>
          </cell>
          <cell r="C109" t="str">
            <v>asia</v>
          </cell>
        </row>
        <row r="110">
          <cell r="A110" t="str">
            <v>mrt</v>
          </cell>
          <cell r="C110" t="str">
            <v>africa</v>
          </cell>
        </row>
        <row r="111">
          <cell r="A111" t="str">
            <v>mus</v>
          </cell>
          <cell r="C111" t="str">
            <v>africa</v>
          </cell>
        </row>
        <row r="112">
          <cell r="A112" t="str">
            <v>mex</v>
          </cell>
          <cell r="C112" t="str">
            <v>americas</v>
          </cell>
        </row>
        <row r="113">
          <cell r="A113" t="str">
            <v>fsm</v>
          </cell>
          <cell r="C113" t="str">
            <v>asia</v>
          </cell>
        </row>
        <row r="114">
          <cell r="A114" t="str">
            <v>mda</v>
          </cell>
          <cell r="C114" t="str">
            <v>europe</v>
          </cell>
        </row>
        <row r="115">
          <cell r="A115" t="str">
            <v>mco</v>
          </cell>
          <cell r="C115" t="str">
            <v>europe</v>
          </cell>
        </row>
        <row r="116">
          <cell r="A116" t="str">
            <v>mng</v>
          </cell>
          <cell r="C116" t="str">
            <v>asia</v>
          </cell>
        </row>
        <row r="117">
          <cell r="A117" t="str">
            <v>mne</v>
          </cell>
          <cell r="C117" t="str">
            <v>europe</v>
          </cell>
        </row>
        <row r="118">
          <cell r="A118" t="str">
            <v>mar</v>
          </cell>
          <cell r="C118" t="str">
            <v>africa</v>
          </cell>
        </row>
        <row r="119">
          <cell r="A119" t="str">
            <v>moz</v>
          </cell>
          <cell r="C119" t="str">
            <v>africa</v>
          </cell>
        </row>
        <row r="120">
          <cell r="A120" t="str">
            <v>mmr</v>
          </cell>
          <cell r="C120" t="str">
            <v>asia</v>
          </cell>
        </row>
        <row r="121">
          <cell r="A121" t="str">
            <v>nam</v>
          </cell>
          <cell r="C121" t="str">
            <v>africa</v>
          </cell>
        </row>
        <row r="122">
          <cell r="A122" t="str">
            <v>nru</v>
          </cell>
          <cell r="C122" t="str">
            <v>asia</v>
          </cell>
        </row>
        <row r="123">
          <cell r="A123" t="str">
            <v>npl</v>
          </cell>
          <cell r="C123" t="str">
            <v>asia</v>
          </cell>
        </row>
        <row r="124">
          <cell r="A124" t="str">
            <v>nld</v>
          </cell>
          <cell r="C124" t="str">
            <v>europe</v>
          </cell>
        </row>
        <row r="125">
          <cell r="A125" t="str">
            <v>nzl</v>
          </cell>
          <cell r="C125" t="str">
            <v>asia</v>
          </cell>
        </row>
        <row r="126">
          <cell r="A126" t="str">
            <v>nic</v>
          </cell>
          <cell r="C126" t="str">
            <v>americas</v>
          </cell>
        </row>
        <row r="127">
          <cell r="A127" t="str">
            <v>ner</v>
          </cell>
          <cell r="C127" t="str">
            <v>africa</v>
          </cell>
        </row>
        <row r="128">
          <cell r="A128" t="str">
            <v>nga</v>
          </cell>
          <cell r="C128" t="str">
            <v>africa</v>
          </cell>
        </row>
        <row r="129">
          <cell r="A129" t="str">
            <v>prk</v>
          </cell>
          <cell r="C129" t="str">
            <v>asia</v>
          </cell>
        </row>
        <row r="130">
          <cell r="A130" t="str">
            <v>mkd</v>
          </cell>
          <cell r="C130" t="str">
            <v>europe</v>
          </cell>
        </row>
        <row r="131">
          <cell r="A131" t="str">
            <v>nor</v>
          </cell>
          <cell r="C131" t="str">
            <v>europe</v>
          </cell>
        </row>
        <row r="132">
          <cell r="A132" t="str">
            <v>omn</v>
          </cell>
          <cell r="C132" t="str">
            <v>asia</v>
          </cell>
        </row>
        <row r="133">
          <cell r="A133" t="str">
            <v>pak</v>
          </cell>
          <cell r="C133" t="str">
            <v>asia</v>
          </cell>
        </row>
        <row r="134">
          <cell r="A134" t="str">
            <v>plw</v>
          </cell>
          <cell r="C134" t="str">
            <v>asia</v>
          </cell>
        </row>
        <row r="135">
          <cell r="A135" t="str">
            <v>pse</v>
          </cell>
          <cell r="C135" t="str">
            <v>asia</v>
          </cell>
        </row>
        <row r="136">
          <cell r="A136" t="str">
            <v>pan</v>
          </cell>
          <cell r="C136" t="str">
            <v>americas</v>
          </cell>
        </row>
        <row r="137">
          <cell r="A137" t="str">
            <v>png</v>
          </cell>
          <cell r="C137" t="str">
            <v>asia</v>
          </cell>
        </row>
        <row r="138">
          <cell r="A138" t="str">
            <v>pry</v>
          </cell>
          <cell r="C138" t="str">
            <v>americas</v>
          </cell>
        </row>
        <row r="139">
          <cell r="A139" t="str">
            <v>per</v>
          </cell>
          <cell r="C139" t="str">
            <v>americas</v>
          </cell>
        </row>
        <row r="140">
          <cell r="A140" t="str">
            <v>phl</v>
          </cell>
          <cell r="C140" t="str">
            <v>asia</v>
          </cell>
        </row>
        <row r="141">
          <cell r="A141" t="str">
            <v>pol</v>
          </cell>
          <cell r="C141" t="str">
            <v>europe</v>
          </cell>
        </row>
        <row r="142">
          <cell r="A142" t="str">
            <v>prt</v>
          </cell>
          <cell r="C142" t="str">
            <v>europe</v>
          </cell>
        </row>
        <row r="143">
          <cell r="A143" t="str">
            <v>qat</v>
          </cell>
          <cell r="C143" t="str">
            <v>asia</v>
          </cell>
        </row>
        <row r="144">
          <cell r="A144" t="str">
            <v>rou</v>
          </cell>
          <cell r="C144" t="str">
            <v>europe</v>
          </cell>
        </row>
        <row r="145">
          <cell r="A145" t="str">
            <v>rus</v>
          </cell>
          <cell r="C145" t="str">
            <v>europe</v>
          </cell>
        </row>
        <row r="146">
          <cell r="A146" t="str">
            <v>rwa</v>
          </cell>
          <cell r="C146" t="str">
            <v>africa</v>
          </cell>
        </row>
        <row r="147">
          <cell r="A147" t="str">
            <v>wsm</v>
          </cell>
          <cell r="C147" t="str">
            <v>asia</v>
          </cell>
        </row>
        <row r="148">
          <cell r="A148" t="str">
            <v>smr</v>
          </cell>
          <cell r="C148" t="str">
            <v>europe</v>
          </cell>
        </row>
        <row r="149">
          <cell r="A149" t="str">
            <v>stp</v>
          </cell>
          <cell r="C149" t="str">
            <v>africa</v>
          </cell>
        </row>
        <row r="150">
          <cell r="A150" t="str">
            <v>sau</v>
          </cell>
          <cell r="C150" t="str">
            <v>asia</v>
          </cell>
        </row>
        <row r="151">
          <cell r="A151" t="str">
            <v>sen</v>
          </cell>
          <cell r="C151" t="str">
            <v>africa</v>
          </cell>
        </row>
        <row r="152">
          <cell r="A152" t="str">
            <v>srb</v>
          </cell>
          <cell r="C152" t="str">
            <v>europe</v>
          </cell>
        </row>
        <row r="153">
          <cell r="A153" t="str">
            <v>syc</v>
          </cell>
          <cell r="C153" t="str">
            <v>africa</v>
          </cell>
        </row>
        <row r="154">
          <cell r="A154" t="str">
            <v>sle</v>
          </cell>
          <cell r="C154" t="str">
            <v>africa</v>
          </cell>
        </row>
        <row r="155">
          <cell r="A155" t="str">
            <v>sgp</v>
          </cell>
          <cell r="C155" t="str">
            <v>asia</v>
          </cell>
        </row>
        <row r="156">
          <cell r="A156" t="str">
            <v>svk</v>
          </cell>
          <cell r="C156" t="str">
            <v>europe</v>
          </cell>
        </row>
        <row r="157">
          <cell r="A157" t="str">
            <v>svn</v>
          </cell>
          <cell r="C157" t="str">
            <v>europe</v>
          </cell>
        </row>
        <row r="158">
          <cell r="A158" t="str">
            <v>slb</v>
          </cell>
          <cell r="C158" t="str">
            <v>asia</v>
          </cell>
        </row>
        <row r="159">
          <cell r="A159" t="str">
            <v>som</v>
          </cell>
          <cell r="C159" t="str">
            <v>africa</v>
          </cell>
        </row>
        <row r="160">
          <cell r="A160" t="str">
            <v>zaf</v>
          </cell>
          <cell r="C160" t="str">
            <v>africa</v>
          </cell>
        </row>
        <row r="161">
          <cell r="A161" t="str">
            <v>kor</v>
          </cell>
          <cell r="C161" t="str">
            <v>asia</v>
          </cell>
        </row>
        <row r="162">
          <cell r="A162" t="str">
            <v>ssd</v>
          </cell>
          <cell r="C162" t="str">
            <v>africa</v>
          </cell>
        </row>
        <row r="163">
          <cell r="A163" t="str">
            <v>esp</v>
          </cell>
          <cell r="C163" t="str">
            <v>europe</v>
          </cell>
        </row>
        <row r="164">
          <cell r="A164" t="str">
            <v>lka</v>
          </cell>
          <cell r="C164" t="str">
            <v>asia</v>
          </cell>
        </row>
        <row r="165">
          <cell r="A165" t="str">
            <v>kna</v>
          </cell>
          <cell r="C165" t="str">
            <v>americas</v>
          </cell>
        </row>
        <row r="166">
          <cell r="A166" t="str">
            <v>lca</v>
          </cell>
          <cell r="C166" t="str">
            <v>americas</v>
          </cell>
        </row>
        <row r="167">
          <cell r="A167" t="str">
            <v>vct</v>
          </cell>
          <cell r="C167" t="str">
            <v>americas</v>
          </cell>
        </row>
        <row r="168">
          <cell r="A168" t="str">
            <v>sdn</v>
          </cell>
          <cell r="C168" t="str">
            <v>africa</v>
          </cell>
        </row>
        <row r="169">
          <cell r="A169" t="str">
            <v>sur</v>
          </cell>
          <cell r="C169" t="str">
            <v>americas</v>
          </cell>
        </row>
        <row r="170">
          <cell r="A170" t="str">
            <v>swe</v>
          </cell>
          <cell r="C170" t="str">
            <v>europe</v>
          </cell>
        </row>
        <row r="171">
          <cell r="A171" t="str">
            <v>che</v>
          </cell>
          <cell r="C171" t="str">
            <v>europe</v>
          </cell>
        </row>
        <row r="172">
          <cell r="A172" t="str">
            <v>syr</v>
          </cell>
          <cell r="C172" t="str">
            <v>asia</v>
          </cell>
        </row>
        <row r="173">
          <cell r="A173" t="str">
            <v>tjk</v>
          </cell>
          <cell r="C173" t="str">
            <v>asia</v>
          </cell>
        </row>
        <row r="174">
          <cell r="A174" t="str">
            <v>tza</v>
          </cell>
          <cell r="C174" t="str">
            <v>africa</v>
          </cell>
        </row>
        <row r="175">
          <cell r="A175" t="str">
            <v>tha</v>
          </cell>
          <cell r="C175" t="str">
            <v>asia</v>
          </cell>
        </row>
        <row r="176">
          <cell r="A176" t="str">
            <v>tls</v>
          </cell>
          <cell r="C176" t="str">
            <v>asia</v>
          </cell>
        </row>
        <row r="177">
          <cell r="A177" t="str">
            <v>tgo</v>
          </cell>
          <cell r="C177" t="str">
            <v>africa</v>
          </cell>
        </row>
        <row r="178">
          <cell r="A178" t="str">
            <v>ton</v>
          </cell>
          <cell r="C178" t="str">
            <v>asia</v>
          </cell>
        </row>
        <row r="179">
          <cell r="A179" t="str">
            <v>tto</v>
          </cell>
          <cell r="C179" t="str">
            <v>americas</v>
          </cell>
        </row>
        <row r="180">
          <cell r="A180" t="str">
            <v>tun</v>
          </cell>
          <cell r="C180" t="str">
            <v>africa</v>
          </cell>
        </row>
        <row r="181">
          <cell r="A181" t="str">
            <v>tur</v>
          </cell>
          <cell r="C181" t="str">
            <v>europe</v>
          </cell>
        </row>
        <row r="182">
          <cell r="A182" t="str">
            <v>tkm</v>
          </cell>
          <cell r="C182" t="str">
            <v>asia</v>
          </cell>
        </row>
        <row r="183">
          <cell r="A183" t="str">
            <v>tuv</v>
          </cell>
          <cell r="C183" t="str">
            <v>asia</v>
          </cell>
        </row>
        <row r="184">
          <cell r="A184" t="str">
            <v>are</v>
          </cell>
          <cell r="C184" t="str">
            <v>asia</v>
          </cell>
        </row>
        <row r="185">
          <cell r="A185" t="str">
            <v>gbr</v>
          </cell>
          <cell r="C185" t="str">
            <v>europe</v>
          </cell>
        </row>
        <row r="186">
          <cell r="A186" t="str">
            <v>usa</v>
          </cell>
          <cell r="C186" t="str">
            <v>americas</v>
          </cell>
        </row>
        <row r="187">
          <cell r="A187" t="str">
            <v>uga</v>
          </cell>
          <cell r="C187" t="str">
            <v>africa</v>
          </cell>
        </row>
        <row r="188">
          <cell r="A188" t="str">
            <v>ukr</v>
          </cell>
          <cell r="C188" t="str">
            <v>europe</v>
          </cell>
        </row>
        <row r="189">
          <cell r="A189" t="str">
            <v>ury</v>
          </cell>
          <cell r="C189" t="str">
            <v>americas</v>
          </cell>
        </row>
        <row r="190">
          <cell r="A190" t="str">
            <v>uzb</v>
          </cell>
          <cell r="C190" t="str">
            <v>asia</v>
          </cell>
        </row>
        <row r="191">
          <cell r="A191" t="str">
            <v>vut</v>
          </cell>
          <cell r="C191" t="str">
            <v>asia</v>
          </cell>
        </row>
        <row r="192">
          <cell r="A192" t="str">
            <v>ven</v>
          </cell>
          <cell r="C192" t="str">
            <v>americas</v>
          </cell>
        </row>
        <row r="193">
          <cell r="A193" t="str">
            <v>vnm</v>
          </cell>
          <cell r="C193" t="str">
            <v>asia</v>
          </cell>
        </row>
        <row r="194">
          <cell r="A194" t="str">
            <v>yem</v>
          </cell>
          <cell r="C194" t="str">
            <v>asia</v>
          </cell>
        </row>
        <row r="195">
          <cell r="A195" t="str">
            <v>zmb</v>
          </cell>
          <cell r="C195" t="str">
            <v>africa</v>
          </cell>
        </row>
        <row r="196">
          <cell r="A196" t="str">
            <v>zwe</v>
          </cell>
          <cell r="C196" t="str">
            <v>africa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ex"/>
    </sheetNames>
    <sheetDataSet>
      <sheetData sheetId="0">
        <row r="2">
          <cell r="A2" t="str">
            <v>afg</v>
          </cell>
          <cell r="HU2" t="str">
            <v>69.33</v>
          </cell>
        </row>
        <row r="3">
          <cell r="A3" t="str">
            <v>ago</v>
          </cell>
          <cell r="HU3" t="str">
            <v>64.9</v>
          </cell>
        </row>
        <row r="4">
          <cell r="A4" t="str">
            <v>alb</v>
          </cell>
          <cell r="HU4" t="str">
            <v>80.1</v>
          </cell>
        </row>
        <row r="5">
          <cell r="A5" t="str">
            <v>and</v>
          </cell>
          <cell r="HU5" t="str">
            <v>84.4</v>
          </cell>
        </row>
        <row r="6">
          <cell r="A6" t="str">
            <v>are</v>
          </cell>
          <cell r="HU6" t="str">
            <v>80.58</v>
          </cell>
        </row>
        <row r="7">
          <cell r="A7" t="str">
            <v>arg</v>
          </cell>
          <cell r="HU7" t="str">
            <v>78</v>
          </cell>
        </row>
        <row r="8">
          <cell r="A8" t="str">
            <v>arm</v>
          </cell>
          <cell r="HU8" t="str">
            <v>80.13</v>
          </cell>
        </row>
        <row r="9">
          <cell r="A9" t="str">
            <v>atg</v>
          </cell>
          <cell r="HU9" t="str">
            <v>78.3</v>
          </cell>
        </row>
        <row r="10">
          <cell r="A10" t="str">
            <v>aus</v>
          </cell>
          <cell r="HU10" t="str">
            <v>84.3</v>
          </cell>
        </row>
        <row r="11">
          <cell r="A11" t="str">
            <v>aut</v>
          </cell>
          <cell r="HU11" t="str">
            <v>82.4</v>
          </cell>
        </row>
        <row r="12">
          <cell r="A12" t="str">
            <v>aze</v>
          </cell>
          <cell r="HU12" t="str">
            <v>73.09</v>
          </cell>
        </row>
        <row r="13">
          <cell r="A13" t="str">
            <v>bdi</v>
          </cell>
          <cell r="HU13" t="str">
            <v>62.19</v>
          </cell>
        </row>
        <row r="14">
          <cell r="A14" t="str">
            <v>bel</v>
          </cell>
          <cell r="HU14" t="str">
            <v>82.6</v>
          </cell>
        </row>
        <row r="15">
          <cell r="A15" t="str">
            <v>ben</v>
          </cell>
          <cell r="HU15" t="str">
            <v>66.74</v>
          </cell>
        </row>
        <row r="16">
          <cell r="A16" t="str">
            <v>bfa</v>
          </cell>
          <cell r="HU16" t="str">
            <v>68.25</v>
          </cell>
        </row>
        <row r="17">
          <cell r="A17" t="str">
            <v>bgd</v>
          </cell>
          <cell r="HU17" t="str">
            <v>71.86</v>
          </cell>
        </row>
        <row r="18">
          <cell r="A18" t="str">
            <v>bgr</v>
          </cell>
          <cell r="HU18" t="str">
            <v>76.4</v>
          </cell>
        </row>
        <row r="19">
          <cell r="A19" t="str">
            <v>bhr</v>
          </cell>
          <cell r="HU19" t="str">
            <v>77.58</v>
          </cell>
        </row>
        <row r="20">
          <cell r="A20" t="str">
            <v>bhs</v>
          </cell>
          <cell r="HU20" t="str">
            <v>73.19</v>
          </cell>
        </row>
        <row r="21">
          <cell r="A21" t="str">
            <v>bih</v>
          </cell>
          <cell r="HU21" t="str">
            <v>78.2</v>
          </cell>
        </row>
        <row r="22">
          <cell r="A22" t="str">
            <v>blr</v>
          </cell>
          <cell r="HU22" t="str">
            <v>75.1</v>
          </cell>
        </row>
        <row r="23">
          <cell r="A23" t="str">
            <v>blz</v>
          </cell>
          <cell r="HU23" t="str">
            <v>75.71</v>
          </cell>
        </row>
        <row r="24">
          <cell r="A24" t="str">
            <v>bol</v>
          </cell>
          <cell r="HU24" t="str">
            <v>72.42</v>
          </cell>
        </row>
        <row r="25">
          <cell r="A25" t="str">
            <v>bra</v>
          </cell>
          <cell r="HU25" t="str">
            <v>77.51</v>
          </cell>
        </row>
        <row r="26">
          <cell r="A26" t="str">
            <v>brb</v>
          </cell>
          <cell r="HU26" t="str">
            <v>77.1</v>
          </cell>
        </row>
        <row r="27">
          <cell r="A27" t="str">
            <v>brn</v>
          </cell>
          <cell r="HU27" t="str">
            <v>78.62</v>
          </cell>
        </row>
        <row r="28">
          <cell r="A28" t="str">
            <v>btn</v>
          </cell>
          <cell r="HU28" t="str">
            <v>73.4</v>
          </cell>
        </row>
        <row r="29">
          <cell r="A29" t="str">
            <v>bwa</v>
          </cell>
          <cell r="HU29" t="str">
            <v>70.51</v>
          </cell>
        </row>
        <row r="30">
          <cell r="A30" t="str">
            <v>caf</v>
          </cell>
          <cell r="HU30" t="str">
            <v>55.77</v>
          </cell>
        </row>
        <row r="31">
          <cell r="A31" t="str">
            <v>can</v>
          </cell>
          <cell r="HU31" t="str">
            <v>82.4</v>
          </cell>
        </row>
        <row r="32">
          <cell r="A32" t="str">
            <v>che</v>
          </cell>
          <cell r="HU32" t="str">
            <v>84.8</v>
          </cell>
        </row>
        <row r="33">
          <cell r="A33" t="str">
            <v>chl</v>
          </cell>
          <cell r="HU33" t="str">
            <v>81.3</v>
          </cell>
        </row>
        <row r="34">
          <cell r="A34" t="str">
            <v>chn</v>
          </cell>
          <cell r="HU34" t="str">
            <v>81.13</v>
          </cell>
        </row>
        <row r="35">
          <cell r="A35" t="str">
            <v>civ</v>
          </cell>
          <cell r="HU35" t="str">
            <v>64.82</v>
          </cell>
        </row>
        <row r="36">
          <cell r="A36" t="str">
            <v>cmr</v>
          </cell>
          <cell r="HU36" t="str">
            <v>62.78</v>
          </cell>
        </row>
        <row r="37">
          <cell r="A37" t="str">
            <v>cod</v>
          </cell>
          <cell r="HU37" t="str">
            <v>61.8</v>
          </cell>
        </row>
        <row r="38">
          <cell r="A38" t="str">
            <v>cog</v>
          </cell>
          <cell r="HU38" t="str">
            <v>64.28</v>
          </cell>
        </row>
        <row r="39">
          <cell r="A39" t="str">
            <v>col</v>
          </cell>
          <cell r="HU39" t="str">
            <v>80.72</v>
          </cell>
        </row>
        <row r="40">
          <cell r="A40" t="str">
            <v>com</v>
          </cell>
          <cell r="HU40" t="str">
            <v>77.1</v>
          </cell>
        </row>
        <row r="41">
          <cell r="A41" t="str">
            <v>cpv</v>
          </cell>
          <cell r="HU41" t="str">
            <v>76.2</v>
          </cell>
        </row>
        <row r="42">
          <cell r="A42" t="str">
            <v>cri</v>
          </cell>
          <cell r="HU42" t="str">
            <v>79.99</v>
          </cell>
        </row>
        <row r="43">
          <cell r="A43" t="str">
            <v>cub</v>
          </cell>
          <cell r="HU43" t="str">
            <v>78.6</v>
          </cell>
        </row>
        <row r="44">
          <cell r="A44" t="str">
            <v>cyp</v>
          </cell>
          <cell r="HU44" t="str">
            <v>81.09</v>
          </cell>
        </row>
        <row r="45">
          <cell r="A45" t="str">
            <v>cze</v>
          </cell>
          <cell r="HU45" t="str">
            <v>80.4</v>
          </cell>
        </row>
        <row r="46">
          <cell r="A46" t="str">
            <v>deu</v>
          </cell>
          <cell r="HU46" t="str">
            <v>81.4</v>
          </cell>
        </row>
        <row r="47">
          <cell r="A47" t="str">
            <v>dji</v>
          </cell>
          <cell r="HU47" t="str">
            <v>69.02</v>
          </cell>
        </row>
        <row r="48">
          <cell r="A48" t="str">
            <v>dma</v>
          </cell>
          <cell r="HU48" t="str">
            <v>76.64</v>
          </cell>
        </row>
        <row r="49">
          <cell r="A49" t="str">
            <v>dnk</v>
          </cell>
          <cell r="HU49" t="str">
            <v>82</v>
          </cell>
        </row>
        <row r="50">
          <cell r="A50" t="str">
            <v>dom</v>
          </cell>
          <cell r="HU50" t="str">
            <v>73.4</v>
          </cell>
        </row>
        <row r="51">
          <cell r="A51" t="str">
            <v>dza</v>
          </cell>
          <cell r="HU51" t="str">
            <v>76.6</v>
          </cell>
        </row>
        <row r="52">
          <cell r="A52" t="str">
            <v>ecu</v>
          </cell>
          <cell r="HU52" t="str">
            <v>77.2</v>
          </cell>
        </row>
        <row r="53">
          <cell r="A53" t="str">
            <v>egy</v>
          </cell>
          <cell r="HU53" t="str">
            <v>70.59</v>
          </cell>
        </row>
        <row r="54">
          <cell r="A54" t="str">
            <v>eri</v>
          </cell>
          <cell r="HU54" t="str">
            <v>63.63</v>
          </cell>
        </row>
        <row r="55">
          <cell r="A55" t="str">
            <v>esp</v>
          </cell>
          <cell r="HU55" t="str">
            <v>83.6</v>
          </cell>
        </row>
        <row r="56">
          <cell r="A56" t="str">
            <v>est</v>
          </cell>
          <cell r="HU56" t="str">
            <v>79.1</v>
          </cell>
        </row>
        <row r="57">
          <cell r="A57" t="str">
            <v>eth</v>
          </cell>
          <cell r="HU57" t="str">
            <v>65.47</v>
          </cell>
        </row>
        <row r="58">
          <cell r="A58" t="str">
            <v>fin</v>
          </cell>
          <cell r="HU58" t="str">
            <v>82.2</v>
          </cell>
        </row>
        <row r="59">
          <cell r="A59" t="str">
            <v>fji</v>
          </cell>
          <cell r="HU59" t="str">
            <v>68.2</v>
          </cell>
        </row>
        <row r="60">
          <cell r="A60" t="str">
            <v>fra</v>
          </cell>
          <cell r="HU60" t="str">
            <v>83</v>
          </cell>
        </row>
        <row r="61">
          <cell r="A61" t="str">
            <v>fsm</v>
          </cell>
          <cell r="HU61" t="str">
            <v>67.5</v>
          </cell>
        </row>
        <row r="62">
          <cell r="A62" t="str">
            <v>gab</v>
          </cell>
          <cell r="HU62" t="str">
            <v>67.59</v>
          </cell>
        </row>
        <row r="63">
          <cell r="A63" t="str">
            <v>gbr</v>
          </cell>
          <cell r="HU63" t="str">
            <v>81.5</v>
          </cell>
        </row>
        <row r="64">
          <cell r="A64" t="str">
            <v>geo</v>
          </cell>
          <cell r="HU64" t="str">
            <v>75.2</v>
          </cell>
        </row>
        <row r="65">
          <cell r="A65" t="str">
            <v>gha</v>
          </cell>
          <cell r="HU65" t="str">
            <v>66</v>
          </cell>
        </row>
        <row r="66">
          <cell r="A66" t="str">
            <v>gin</v>
          </cell>
          <cell r="HU66" t="str">
            <v>63.01</v>
          </cell>
        </row>
        <row r="67">
          <cell r="A67" t="str">
            <v>gmb</v>
          </cell>
          <cell r="HU67" t="str">
            <v>67.91</v>
          </cell>
        </row>
        <row r="68">
          <cell r="A68" t="str">
            <v>gnb</v>
          </cell>
          <cell r="HU68" t="str">
            <v>61.68</v>
          </cell>
        </row>
        <row r="69">
          <cell r="A69" t="str">
            <v>gnq</v>
          </cell>
          <cell r="HU69" t="str">
            <v>61.88</v>
          </cell>
        </row>
        <row r="70">
          <cell r="A70" t="str">
            <v>grc</v>
          </cell>
          <cell r="HU70" t="str">
            <v>81.49</v>
          </cell>
        </row>
        <row r="71">
          <cell r="A71" t="str">
            <v>grd</v>
          </cell>
          <cell r="HU71" t="str">
            <v>75.7</v>
          </cell>
        </row>
        <row r="72">
          <cell r="A72" t="str">
            <v>gtm</v>
          </cell>
          <cell r="HU72" t="str">
            <v>73.6</v>
          </cell>
        </row>
        <row r="73">
          <cell r="A73" t="str">
            <v>guy</v>
          </cell>
          <cell r="HU73" t="str">
            <v>69.39</v>
          </cell>
        </row>
        <row r="74">
          <cell r="A74" t="str">
            <v>hnd</v>
          </cell>
          <cell r="HU74" t="str">
            <v>76.62</v>
          </cell>
        </row>
        <row r="75">
          <cell r="A75" t="str">
            <v>hrv</v>
          </cell>
          <cell r="HU75" t="str">
            <v>79.1</v>
          </cell>
        </row>
        <row r="76">
          <cell r="A76" t="str">
            <v>hti</v>
          </cell>
          <cell r="HU76" t="str">
            <v>61.56</v>
          </cell>
        </row>
        <row r="77">
          <cell r="A77" t="str">
            <v>hun</v>
          </cell>
          <cell r="HU77" t="str">
            <v>77.3</v>
          </cell>
        </row>
        <row r="78">
          <cell r="A78" t="str">
            <v>idn</v>
          </cell>
          <cell r="HU78" t="str">
            <v>73.01</v>
          </cell>
        </row>
        <row r="79">
          <cell r="A79" t="str">
            <v>ind</v>
          </cell>
          <cell r="HU79" t="str">
            <v>72.3</v>
          </cell>
        </row>
        <row r="80">
          <cell r="A80" t="str">
            <v>irl</v>
          </cell>
          <cell r="HU80" t="str">
            <v>83</v>
          </cell>
        </row>
        <row r="81">
          <cell r="A81" t="str">
            <v>irn</v>
          </cell>
          <cell r="HU81" t="str">
            <v>79.31</v>
          </cell>
        </row>
        <row r="82">
          <cell r="A82" t="str">
            <v>irq</v>
          </cell>
          <cell r="HU82" t="str">
            <v>71.4</v>
          </cell>
        </row>
        <row r="83">
          <cell r="A83" t="str">
            <v>isl</v>
          </cell>
          <cell r="HU83" t="str">
            <v>83.1</v>
          </cell>
        </row>
        <row r="84">
          <cell r="A84" t="str">
            <v>isr</v>
          </cell>
          <cell r="HU84" t="str">
            <v>83.81</v>
          </cell>
        </row>
        <row r="85">
          <cell r="A85" t="str">
            <v>ita</v>
          </cell>
          <cell r="HU85" t="str">
            <v>83.5</v>
          </cell>
        </row>
        <row r="86">
          <cell r="A86" t="str">
            <v>jam</v>
          </cell>
          <cell r="HU86" t="str">
            <v>76.53</v>
          </cell>
        </row>
        <row r="87">
          <cell r="A87" t="str">
            <v>jor</v>
          </cell>
          <cell r="HU87" t="str">
            <v>79</v>
          </cell>
        </row>
        <row r="88">
          <cell r="A88" t="str">
            <v>jpn</v>
          </cell>
          <cell r="HU88" t="str">
            <v>84.5</v>
          </cell>
        </row>
        <row r="89">
          <cell r="A89" t="str">
            <v>kaz</v>
          </cell>
          <cell r="HU89" t="str">
            <v>75.3</v>
          </cell>
        </row>
        <row r="90">
          <cell r="A90" t="str">
            <v>ken</v>
          </cell>
          <cell r="HU90" t="str">
            <v>70.56</v>
          </cell>
        </row>
        <row r="91">
          <cell r="A91" t="str">
            <v>kgz</v>
          </cell>
          <cell r="HU91" t="str">
            <v>75.62</v>
          </cell>
        </row>
        <row r="92">
          <cell r="A92" t="str">
            <v>khm</v>
          </cell>
          <cell r="HU92" t="str">
            <v>73.51</v>
          </cell>
        </row>
        <row r="93">
          <cell r="A93" t="str">
            <v>kir</v>
          </cell>
          <cell r="HU93" t="str">
            <v>71.63</v>
          </cell>
        </row>
        <row r="94">
          <cell r="A94" t="str">
            <v>kna</v>
          </cell>
          <cell r="HU94" t="str">
            <v>75.32</v>
          </cell>
        </row>
        <row r="95">
          <cell r="A95" t="str">
            <v>kor</v>
          </cell>
          <cell r="HU95" t="str">
            <v>83.7</v>
          </cell>
        </row>
        <row r="96">
          <cell r="A96" t="str">
            <v>kwt</v>
          </cell>
          <cell r="HU96" t="str">
            <v>81.71</v>
          </cell>
        </row>
        <row r="97">
          <cell r="A97" t="str">
            <v>lao</v>
          </cell>
          <cell r="HU97" t="str">
            <v>66.77</v>
          </cell>
        </row>
        <row r="98">
          <cell r="A98" t="str">
            <v>lbn</v>
          </cell>
          <cell r="HU98" t="str">
            <v>79.31</v>
          </cell>
        </row>
        <row r="99">
          <cell r="A99" t="str">
            <v>lbr</v>
          </cell>
          <cell r="HU99" t="str">
            <v>61.9</v>
          </cell>
        </row>
        <row r="100">
          <cell r="A100" t="str">
            <v>lby</v>
          </cell>
          <cell r="HU100" t="str">
            <v>76.07</v>
          </cell>
        </row>
        <row r="101">
          <cell r="A101" t="str">
            <v>lca</v>
          </cell>
          <cell r="HU101" t="str">
            <v>77.93</v>
          </cell>
        </row>
        <row r="102">
          <cell r="A102" t="str">
            <v>lie</v>
          </cell>
        </row>
        <row r="103">
          <cell r="A103" t="str">
            <v>lka</v>
          </cell>
          <cell r="HU103" t="str">
            <v>77.09</v>
          </cell>
        </row>
        <row r="104">
          <cell r="A104" t="str">
            <v>lso</v>
          </cell>
          <cell r="HU104" t="str">
            <v>59.11</v>
          </cell>
        </row>
        <row r="105">
          <cell r="A105" t="str">
            <v>ltu</v>
          </cell>
          <cell r="HU105" t="str">
            <v>77.1</v>
          </cell>
        </row>
        <row r="106">
          <cell r="A106" t="str">
            <v>lux</v>
          </cell>
          <cell r="HU106" t="str">
            <v>83.6</v>
          </cell>
        </row>
        <row r="107">
          <cell r="A107" t="str">
            <v>lva</v>
          </cell>
          <cell r="HU107" t="str">
            <v>76.2</v>
          </cell>
        </row>
        <row r="108">
          <cell r="A108" t="str">
            <v>mar</v>
          </cell>
          <cell r="HU108" t="str">
            <v>73.58</v>
          </cell>
        </row>
        <row r="109">
          <cell r="A109" t="str">
            <v>mco</v>
          </cell>
          <cell r="HU109" t="str">
            <v>80.68</v>
          </cell>
        </row>
        <row r="110">
          <cell r="A110" t="str">
            <v>mda</v>
          </cell>
          <cell r="HU110" t="str">
            <v>76.43</v>
          </cell>
        </row>
        <row r="111">
          <cell r="A111" t="str">
            <v>mdg</v>
          </cell>
          <cell r="HU111" t="str">
            <v>63.19</v>
          </cell>
        </row>
        <row r="112">
          <cell r="A112" t="str">
            <v>mdv</v>
          </cell>
          <cell r="HU112" t="str">
            <v>76.76</v>
          </cell>
        </row>
        <row r="113">
          <cell r="A113" t="str">
            <v>mex</v>
          </cell>
          <cell r="HU113" t="str">
            <v>76.81</v>
          </cell>
        </row>
        <row r="114">
          <cell r="A114" t="str">
            <v>mhl</v>
          </cell>
          <cell r="HU114" t="str">
            <v>64.48</v>
          </cell>
        </row>
        <row r="115">
          <cell r="A115" t="str">
            <v>mkd</v>
          </cell>
          <cell r="HU115" t="str">
            <v>77.4</v>
          </cell>
        </row>
        <row r="116">
          <cell r="A116" t="str">
            <v>mli</v>
          </cell>
          <cell r="HU116" t="str">
            <v>64.34</v>
          </cell>
        </row>
        <row r="117">
          <cell r="A117" t="str">
            <v>mlt</v>
          </cell>
          <cell r="HU117" t="str">
            <v>83.5</v>
          </cell>
        </row>
        <row r="118">
          <cell r="A118" t="str">
            <v>mmr</v>
          </cell>
          <cell r="HU118" t="str">
            <v>65.99</v>
          </cell>
        </row>
        <row r="119">
          <cell r="A119" t="str">
            <v>mne</v>
          </cell>
          <cell r="HU119" t="str">
            <v>77.6</v>
          </cell>
        </row>
        <row r="120">
          <cell r="A120" t="str">
            <v>mng</v>
          </cell>
          <cell r="HU120" t="str">
            <v>73.92</v>
          </cell>
        </row>
        <row r="121">
          <cell r="A121" t="str">
            <v>moz</v>
          </cell>
          <cell r="HU121" t="str">
            <v>65.41</v>
          </cell>
        </row>
        <row r="122">
          <cell r="A122" t="str">
            <v>mrt</v>
          </cell>
          <cell r="HU122" t="str">
            <v>68.8</v>
          </cell>
        </row>
        <row r="123">
          <cell r="A123" t="str">
            <v>mus</v>
          </cell>
          <cell r="HU123" t="str">
            <v>74.29</v>
          </cell>
        </row>
        <row r="124">
          <cell r="A124" t="str">
            <v>mwi</v>
          </cell>
          <cell r="HU124" t="str">
            <v>62.46</v>
          </cell>
        </row>
        <row r="125">
          <cell r="A125" t="str">
            <v>mys</v>
          </cell>
          <cell r="HU125" t="str">
            <v>76.9</v>
          </cell>
        </row>
        <row r="126">
          <cell r="A126" t="str">
            <v>nam</v>
          </cell>
          <cell r="HU126" t="str">
            <v>66.79</v>
          </cell>
        </row>
        <row r="127">
          <cell r="A127" t="str">
            <v>ner</v>
          </cell>
          <cell r="HU127" t="str">
            <v>59.88</v>
          </cell>
        </row>
        <row r="128">
          <cell r="A128" t="str">
            <v>nga</v>
          </cell>
          <cell r="HU128" t="str">
            <v>65.09</v>
          </cell>
        </row>
        <row r="129">
          <cell r="A129" t="str">
            <v>nic</v>
          </cell>
          <cell r="HU129" t="str">
            <v>77.21</v>
          </cell>
        </row>
        <row r="130">
          <cell r="A130" t="str">
            <v>nld</v>
          </cell>
          <cell r="HU130" t="str">
            <v>82.4</v>
          </cell>
        </row>
        <row r="131">
          <cell r="A131" t="str">
            <v>nor</v>
          </cell>
          <cell r="HU131" t="str">
            <v>83.5</v>
          </cell>
        </row>
        <row r="132">
          <cell r="A132" t="str">
            <v>npl</v>
          </cell>
          <cell r="HU132" t="str">
            <v>74.34</v>
          </cell>
        </row>
        <row r="133">
          <cell r="A133" t="str">
            <v>nru</v>
          </cell>
          <cell r="HU133" t="str">
            <v>59.48</v>
          </cell>
        </row>
        <row r="134">
          <cell r="A134" t="str">
            <v>nzl</v>
          </cell>
          <cell r="HU134" t="str">
            <v>82</v>
          </cell>
        </row>
        <row r="135">
          <cell r="A135" t="str">
            <v>omn</v>
          </cell>
          <cell r="HU135" t="str">
            <v>77.67</v>
          </cell>
        </row>
        <row r="136">
          <cell r="A136" t="str">
            <v>pak</v>
          </cell>
          <cell r="HU136" t="str">
            <v>70.52</v>
          </cell>
        </row>
        <row r="137">
          <cell r="A137" t="str">
            <v>pan</v>
          </cell>
          <cell r="HU137" t="str">
            <v>79.7</v>
          </cell>
        </row>
        <row r="138">
          <cell r="A138" t="str">
            <v>per</v>
          </cell>
          <cell r="HU138" t="str">
            <v>77.7</v>
          </cell>
        </row>
        <row r="139">
          <cell r="A139" t="str">
            <v>phl</v>
          </cell>
          <cell r="HU139" t="str">
            <v>72.51</v>
          </cell>
        </row>
        <row r="140">
          <cell r="A140" t="str">
            <v>plw</v>
          </cell>
          <cell r="HU140" t="str">
            <v>69.2</v>
          </cell>
        </row>
        <row r="141">
          <cell r="A141" t="str">
            <v>png</v>
          </cell>
          <cell r="HU141" t="str">
            <v>66.7</v>
          </cell>
        </row>
        <row r="142">
          <cell r="A142" t="str">
            <v>pol</v>
          </cell>
          <cell r="HU142" t="str">
            <v>79.2</v>
          </cell>
        </row>
        <row r="143">
          <cell r="A143" t="str">
            <v>prk</v>
          </cell>
          <cell r="HU143" t="str">
            <v>74.1</v>
          </cell>
        </row>
        <row r="144">
          <cell r="A144" t="str">
            <v>prt</v>
          </cell>
          <cell r="HU144" t="str">
            <v>82.5</v>
          </cell>
        </row>
        <row r="145">
          <cell r="A145" t="str">
            <v>pry</v>
          </cell>
          <cell r="HU145" t="str">
            <v>73.4</v>
          </cell>
        </row>
        <row r="146">
          <cell r="A146" t="str">
            <v>pse</v>
          </cell>
          <cell r="HU146" t="str">
            <v>78.23</v>
          </cell>
        </row>
        <row r="147">
          <cell r="A147" t="str">
            <v>qat</v>
          </cell>
          <cell r="HU147" t="str">
            <v>81.8</v>
          </cell>
        </row>
        <row r="148">
          <cell r="A148" t="str">
            <v>rou</v>
          </cell>
          <cell r="HU148" t="str">
            <v>76.8</v>
          </cell>
        </row>
        <row r="149">
          <cell r="A149" t="str">
            <v>rus</v>
          </cell>
          <cell r="HU149" t="str">
            <v>73.7</v>
          </cell>
        </row>
        <row r="150">
          <cell r="A150" t="str">
            <v>rwa</v>
          </cell>
          <cell r="HU150" t="str">
            <v>65.37</v>
          </cell>
        </row>
        <row r="151">
          <cell r="A151" t="str">
            <v>sau</v>
          </cell>
          <cell r="HU151" t="str">
            <v>75.16</v>
          </cell>
        </row>
        <row r="152">
          <cell r="A152" t="str">
            <v>sdn</v>
          </cell>
          <cell r="HU152" t="str">
            <v>69.52</v>
          </cell>
        </row>
        <row r="153">
          <cell r="A153" t="str">
            <v>sen</v>
          </cell>
          <cell r="HU153" t="str">
            <v>70.81</v>
          </cell>
        </row>
        <row r="154">
          <cell r="A154" t="str">
            <v>sgp</v>
          </cell>
          <cell r="HU154" t="str">
            <v>85.81</v>
          </cell>
        </row>
        <row r="155">
          <cell r="A155" t="str">
            <v>slb</v>
          </cell>
          <cell r="HU155" t="str">
            <v>64.15</v>
          </cell>
        </row>
        <row r="156">
          <cell r="A156" t="str">
            <v>sle</v>
          </cell>
          <cell r="HU156" t="str">
            <v>59.38</v>
          </cell>
        </row>
        <row r="157">
          <cell r="A157" t="str">
            <v>slv</v>
          </cell>
          <cell r="HU157" t="str">
            <v>73.71</v>
          </cell>
        </row>
        <row r="158">
          <cell r="A158" t="str">
            <v>smr</v>
          </cell>
          <cell r="HU158" t="str">
            <v>85.4</v>
          </cell>
        </row>
        <row r="159">
          <cell r="A159" t="str">
            <v>som</v>
          </cell>
          <cell r="HU159" t="str">
            <v>65.35</v>
          </cell>
        </row>
        <row r="160">
          <cell r="A160" t="str">
            <v>srb</v>
          </cell>
          <cell r="HU160" t="str">
            <v>76.49</v>
          </cell>
        </row>
        <row r="161">
          <cell r="A161" t="str">
            <v>ssd</v>
          </cell>
          <cell r="HU161" t="str">
            <v>56.79</v>
          </cell>
        </row>
        <row r="162">
          <cell r="A162" t="str">
            <v>stp</v>
          </cell>
          <cell r="HU162" t="str">
            <v>70.91</v>
          </cell>
        </row>
        <row r="163">
          <cell r="A163" t="str">
            <v>sur</v>
          </cell>
          <cell r="HU163" t="str">
            <v>73.5</v>
          </cell>
        </row>
        <row r="164">
          <cell r="A164" t="str">
            <v>svk</v>
          </cell>
          <cell r="HU164" t="str">
            <v>78.7</v>
          </cell>
        </row>
        <row r="165">
          <cell r="A165" t="str">
            <v>svn</v>
          </cell>
          <cell r="HU165" t="str">
            <v>82.1</v>
          </cell>
        </row>
        <row r="166">
          <cell r="A166" t="str">
            <v>swe</v>
          </cell>
          <cell r="HU166" t="str">
            <v>83.7</v>
          </cell>
        </row>
        <row r="167">
          <cell r="A167" t="str">
            <v>swz</v>
          </cell>
          <cell r="HU167" t="str">
            <v>61.18</v>
          </cell>
        </row>
        <row r="168">
          <cell r="A168" t="str">
            <v>syc</v>
          </cell>
          <cell r="HU168" t="str">
            <v>75.51</v>
          </cell>
        </row>
        <row r="169">
          <cell r="A169" t="str">
            <v>syr</v>
          </cell>
          <cell r="HU169" t="str">
            <v>76.76</v>
          </cell>
        </row>
        <row r="170">
          <cell r="A170" t="str">
            <v>tcd</v>
          </cell>
          <cell r="HU170" t="str">
            <v>58.53</v>
          </cell>
        </row>
        <row r="171">
          <cell r="A171" t="str">
            <v>tgo</v>
          </cell>
          <cell r="HU171" t="str">
            <v>65.12</v>
          </cell>
        </row>
        <row r="172">
          <cell r="A172" t="str">
            <v>tha</v>
          </cell>
          <cell r="HU172" t="str">
            <v>78.21</v>
          </cell>
        </row>
        <row r="173">
          <cell r="A173" t="str">
            <v>tjk</v>
          </cell>
          <cell r="HU173" t="str">
            <v>72.2</v>
          </cell>
        </row>
        <row r="174">
          <cell r="A174" t="str">
            <v>tkm</v>
          </cell>
          <cell r="HU174" t="str">
            <v>71.51</v>
          </cell>
        </row>
        <row r="175">
          <cell r="A175" t="str">
            <v>tls</v>
          </cell>
          <cell r="HU175" t="str">
            <v>70.52</v>
          </cell>
        </row>
        <row r="176">
          <cell r="A176" t="str">
            <v>ton</v>
          </cell>
          <cell r="HU176" t="str">
            <v>72.19</v>
          </cell>
        </row>
        <row r="177">
          <cell r="A177" t="str">
            <v>tto</v>
          </cell>
          <cell r="HU177" t="str">
            <v>73.6</v>
          </cell>
        </row>
        <row r="178">
          <cell r="A178" t="str">
            <v>tun</v>
          </cell>
          <cell r="HU178" t="str">
            <v>76.19</v>
          </cell>
        </row>
        <row r="179">
          <cell r="A179" t="str">
            <v>tur</v>
          </cell>
          <cell r="HU179" t="str">
            <v>77.28</v>
          </cell>
        </row>
        <row r="180">
          <cell r="A180" t="str">
            <v>tuv</v>
          </cell>
          <cell r="HU180" t="str">
            <v>63.77</v>
          </cell>
        </row>
        <row r="181">
          <cell r="A181" t="str">
            <v>tza</v>
          </cell>
          <cell r="HU181" t="str">
            <v>70.02</v>
          </cell>
        </row>
        <row r="182">
          <cell r="A182" t="str">
            <v>uga</v>
          </cell>
          <cell r="HU182" t="str">
            <v>66.18</v>
          </cell>
        </row>
        <row r="183">
          <cell r="A183" t="str">
            <v>ukr</v>
          </cell>
          <cell r="HU183" t="str">
            <v>74.08</v>
          </cell>
        </row>
        <row r="184">
          <cell r="A184" t="str">
            <v>ury</v>
          </cell>
          <cell r="HU184" t="str">
            <v>77.9</v>
          </cell>
        </row>
        <row r="185">
          <cell r="A185" t="str">
            <v>usa</v>
          </cell>
          <cell r="HU185" t="str">
            <v>78.99</v>
          </cell>
        </row>
        <row r="186">
          <cell r="A186" t="str">
            <v>uzb</v>
          </cell>
          <cell r="HU186" t="str">
            <v>72.9</v>
          </cell>
        </row>
        <row r="187">
          <cell r="A187" t="str">
            <v>vct</v>
          </cell>
          <cell r="HU187" t="str">
            <v>75.63</v>
          </cell>
        </row>
        <row r="188">
          <cell r="A188" t="str">
            <v>ven</v>
          </cell>
          <cell r="HU188" t="str">
            <v>72.3</v>
          </cell>
        </row>
        <row r="189">
          <cell r="A189" t="str">
            <v>vnm</v>
          </cell>
          <cell r="HU189" t="str">
            <v>76.51</v>
          </cell>
        </row>
        <row r="190">
          <cell r="A190" t="str">
            <v>vut</v>
          </cell>
          <cell r="HU190" t="str">
            <v>70.79</v>
          </cell>
        </row>
        <row r="191">
          <cell r="A191" t="str">
            <v>wsm</v>
          </cell>
          <cell r="HU191" t="str">
            <v>73.01</v>
          </cell>
        </row>
        <row r="192">
          <cell r="A192" t="str">
            <v>yem</v>
          </cell>
          <cell r="HU192" t="str">
            <v>72.11</v>
          </cell>
        </row>
        <row r="193">
          <cell r="A193" t="str">
            <v>zaf</v>
          </cell>
          <cell r="HU193" t="str">
            <v>67.1</v>
          </cell>
        </row>
        <row r="194">
          <cell r="A194" t="str">
            <v>zmb</v>
          </cell>
          <cell r="HU194" t="str">
            <v>62.06</v>
          </cell>
        </row>
        <row r="195">
          <cell r="A195" t="str">
            <v>zwe</v>
          </cell>
          <cell r="HU195" t="str">
            <v>67.14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dp_pcap"/>
    </sheetNames>
    <sheetDataSet>
      <sheetData sheetId="0">
        <row r="2">
          <cell r="A2" t="str">
            <v>afg</v>
          </cell>
          <cell r="HT2" t="str">
            <v>2092.54588</v>
          </cell>
        </row>
        <row r="3">
          <cell r="A3" t="str">
            <v>ago</v>
          </cell>
          <cell r="HT3" t="str">
            <v>7457.17479</v>
          </cell>
        </row>
        <row r="4">
          <cell r="A4" t="str">
            <v>alb</v>
          </cell>
          <cell r="HT4" t="str">
            <v>20361.79277</v>
          </cell>
        </row>
        <row r="5">
          <cell r="A5" t="str">
            <v>and</v>
          </cell>
          <cell r="HT5" t="str">
            <v>67385.01529</v>
          </cell>
        </row>
        <row r="6">
          <cell r="A6" t="str">
            <v>are</v>
          </cell>
          <cell r="HT6" t="str">
            <v>72660.14487</v>
          </cell>
        </row>
        <row r="7">
          <cell r="A7" t="str">
            <v>arg</v>
          </cell>
          <cell r="HT7" t="str">
            <v>28467.05855</v>
          </cell>
        </row>
        <row r="8">
          <cell r="A8" t="str">
            <v>arm</v>
          </cell>
          <cell r="HT8" t="str">
            <v>21539.01147</v>
          </cell>
        </row>
        <row r="9">
          <cell r="A9" t="str">
            <v>atg</v>
          </cell>
          <cell r="HT9" t="str">
            <v>30870.84372</v>
          </cell>
        </row>
        <row r="10">
          <cell r="A10" t="str">
            <v>aus</v>
          </cell>
          <cell r="HT10" t="str">
            <v>61942.61476</v>
          </cell>
        </row>
        <row r="11">
          <cell r="A11" t="str">
            <v>aut</v>
          </cell>
          <cell r="HT11" t="str">
            <v>64665.01876</v>
          </cell>
        </row>
        <row r="12">
          <cell r="A12" t="str">
            <v>aze</v>
          </cell>
          <cell r="HT12" t="str">
            <v>23177.53343</v>
          </cell>
        </row>
        <row r="13">
          <cell r="A13" t="str">
            <v>bdi</v>
          </cell>
          <cell r="HT13" t="str">
            <v>848.37448</v>
          </cell>
        </row>
        <row r="14">
          <cell r="A14" t="str">
            <v>bel</v>
          </cell>
          <cell r="HT14" t="str">
            <v>65096.12262</v>
          </cell>
        </row>
        <row r="15">
          <cell r="A15" t="str">
            <v>ben</v>
          </cell>
          <cell r="HT15" t="str">
            <v>4143.14163</v>
          </cell>
        </row>
        <row r="16">
          <cell r="A16" t="str">
            <v>bfa</v>
          </cell>
          <cell r="HT16" t="str">
            <v>2661.1876</v>
          </cell>
        </row>
        <row r="17">
          <cell r="A17" t="str">
            <v>bgd</v>
          </cell>
          <cell r="HT17" t="str">
            <v>8950.44644</v>
          </cell>
        </row>
        <row r="18">
          <cell r="A18" t="str">
            <v>bgr</v>
          </cell>
          <cell r="HT18" t="str">
            <v>36210.72816</v>
          </cell>
        </row>
        <row r="19">
          <cell r="A19" t="str">
            <v>bhr</v>
          </cell>
          <cell r="HT19" t="str">
            <v>60839.23381</v>
          </cell>
        </row>
        <row r="20">
          <cell r="A20" t="str">
            <v>bhs</v>
          </cell>
          <cell r="HT20" t="str">
            <v>37464.41295</v>
          </cell>
        </row>
        <row r="21">
          <cell r="A21" t="str">
            <v>bih</v>
          </cell>
          <cell r="HT21" t="str">
            <v>21620.74836</v>
          </cell>
        </row>
        <row r="22">
          <cell r="A22" t="str">
            <v>blr</v>
          </cell>
          <cell r="HT22" t="str">
            <v>28456.77856</v>
          </cell>
        </row>
        <row r="23">
          <cell r="A23" t="str">
            <v>blz</v>
          </cell>
          <cell r="HT23" t="str">
            <v>13847.69431</v>
          </cell>
        </row>
        <row r="24">
          <cell r="A24" t="str">
            <v>bol</v>
          </cell>
          <cell r="HT24" t="str">
            <v>10089.6259</v>
          </cell>
        </row>
        <row r="25">
          <cell r="A25" t="str">
            <v>bra</v>
          </cell>
          <cell r="HT25" t="str">
            <v>20500.23168</v>
          </cell>
        </row>
        <row r="26">
          <cell r="A26" t="str">
            <v>brb</v>
          </cell>
          <cell r="HT26" t="str">
            <v>21036.46289</v>
          </cell>
        </row>
        <row r="27">
          <cell r="A27" t="str">
            <v>brn</v>
          </cell>
          <cell r="HT27" t="str">
            <v>82692.81626</v>
          </cell>
        </row>
        <row r="28">
          <cell r="A28" t="str">
            <v>btn</v>
          </cell>
          <cell r="HT28" t="str">
            <v>16920.9576</v>
          </cell>
        </row>
        <row r="29">
          <cell r="A29" t="str">
            <v>bwa</v>
          </cell>
          <cell r="HT29" t="str">
            <v>18189.03301</v>
          </cell>
        </row>
        <row r="30">
          <cell r="A30" t="str">
            <v>caf</v>
          </cell>
          <cell r="HT30" t="str">
            <v>1135.80389</v>
          </cell>
        </row>
        <row r="31">
          <cell r="A31" t="str">
            <v>can</v>
          </cell>
          <cell r="HT31" t="str">
            <v>58422.42505</v>
          </cell>
        </row>
        <row r="32">
          <cell r="A32" t="str">
            <v>che</v>
          </cell>
          <cell r="HT32" t="str">
            <v>84310.9311</v>
          </cell>
        </row>
        <row r="33">
          <cell r="A33" t="str">
            <v>chl</v>
          </cell>
          <cell r="HT33" t="str">
            <v>31425.36958</v>
          </cell>
        </row>
        <row r="34">
          <cell r="A34" t="str">
            <v>chn</v>
          </cell>
          <cell r="HT34" t="str">
            <v>25504.91715</v>
          </cell>
        </row>
        <row r="35">
          <cell r="A35" t="str">
            <v>civ</v>
          </cell>
          <cell r="HT35" t="str">
            <v>7143.2159</v>
          </cell>
        </row>
        <row r="36">
          <cell r="A36" t="str">
            <v>cmr</v>
          </cell>
          <cell r="HT36" t="str">
            <v>5107.23253</v>
          </cell>
        </row>
        <row r="37">
          <cell r="A37" t="str">
            <v>cod</v>
          </cell>
          <cell r="HT37" t="str">
            <v>1565.63762</v>
          </cell>
        </row>
        <row r="38">
          <cell r="A38" t="str">
            <v>cog</v>
          </cell>
          <cell r="HT38" t="str">
            <v>6377.20603</v>
          </cell>
        </row>
        <row r="39">
          <cell r="A39" t="str">
            <v>col</v>
          </cell>
          <cell r="HT39" t="str">
            <v>19301.99344</v>
          </cell>
        </row>
        <row r="40">
          <cell r="A40" t="str">
            <v>com</v>
          </cell>
          <cell r="HT40" t="str">
            <v>3717.61456</v>
          </cell>
        </row>
        <row r="41">
          <cell r="A41" t="str">
            <v>cpv</v>
          </cell>
          <cell r="HT41" t="str">
            <v>10625.35184</v>
          </cell>
        </row>
        <row r="42">
          <cell r="A42" t="str">
            <v>cri</v>
          </cell>
          <cell r="HT42" t="str">
            <v>28390.39988</v>
          </cell>
        </row>
        <row r="43">
          <cell r="A43" t="str">
            <v>cub</v>
          </cell>
          <cell r="HT43" t="str">
            <v>15295.86616</v>
          </cell>
        </row>
        <row r="44">
          <cell r="A44" t="str">
            <v>cyp</v>
          </cell>
          <cell r="HT44" t="str">
            <v>55720.00354</v>
          </cell>
        </row>
        <row r="45">
          <cell r="A45" t="str">
            <v>cze</v>
          </cell>
          <cell r="HT45" t="str">
            <v>50179.53386</v>
          </cell>
        </row>
        <row r="46">
          <cell r="A46" t="str">
            <v>deu</v>
          </cell>
          <cell r="HT46" t="str">
            <v>64355.00745</v>
          </cell>
        </row>
        <row r="47">
          <cell r="A47" t="str">
            <v>dji</v>
          </cell>
          <cell r="HT47" t="str">
            <v>7352.87525</v>
          </cell>
        </row>
        <row r="48">
          <cell r="A48" t="str">
            <v>dma</v>
          </cell>
          <cell r="HT48" t="str">
            <v>19949.18463</v>
          </cell>
        </row>
        <row r="49">
          <cell r="A49" t="str">
            <v>dnk</v>
          </cell>
          <cell r="HT49" t="str">
            <v>77336.97179</v>
          </cell>
        </row>
        <row r="50">
          <cell r="A50" t="str">
            <v>dom</v>
          </cell>
          <cell r="HT50" t="str">
            <v>25662.87388</v>
          </cell>
        </row>
        <row r="51">
          <cell r="A51" t="str">
            <v>dza</v>
          </cell>
          <cell r="HT51" t="str">
            <v>16189.46985</v>
          </cell>
        </row>
        <row r="52">
          <cell r="A52" t="str">
            <v>ecu</v>
          </cell>
          <cell r="HT52" t="str">
            <v>14442.50999</v>
          </cell>
        </row>
        <row r="53">
          <cell r="A53" t="str">
            <v>egy</v>
          </cell>
          <cell r="HT53" t="str">
            <v>17541.37397</v>
          </cell>
        </row>
        <row r="54">
          <cell r="A54" t="str">
            <v>eri</v>
          </cell>
          <cell r="HT54" t="str">
            <v>2441.67773</v>
          </cell>
        </row>
        <row r="55">
          <cell r="A55" t="str">
            <v>esp</v>
          </cell>
          <cell r="HT55" t="str">
            <v>50242.02774</v>
          </cell>
        </row>
        <row r="56">
          <cell r="A56" t="str">
            <v>est</v>
          </cell>
          <cell r="HT56" t="str">
            <v>42892.09544</v>
          </cell>
        </row>
        <row r="57">
          <cell r="A57" t="str">
            <v>eth</v>
          </cell>
          <cell r="HT57" t="str">
            <v>3106.93422</v>
          </cell>
        </row>
        <row r="58">
          <cell r="A58" t="str">
            <v>fin</v>
          </cell>
          <cell r="HT58" t="str">
            <v>57574.23612</v>
          </cell>
        </row>
        <row r="59">
          <cell r="A59" t="str">
            <v>fji</v>
          </cell>
          <cell r="HT59" t="str">
            <v>14765.58232</v>
          </cell>
        </row>
        <row r="60">
          <cell r="A60" t="str">
            <v>fra</v>
          </cell>
          <cell r="HT60" t="str">
            <v>56112.81238</v>
          </cell>
        </row>
        <row r="61">
          <cell r="A61" t="str">
            <v>fsm</v>
          </cell>
          <cell r="HT61" t="str">
            <v>3967.76263</v>
          </cell>
        </row>
        <row r="62">
          <cell r="A62" t="str">
            <v>gab</v>
          </cell>
          <cell r="HT62" t="str">
            <v>19542.93836</v>
          </cell>
        </row>
        <row r="63">
          <cell r="A63" t="str">
            <v>gbr</v>
          </cell>
          <cell r="HT63" t="str">
            <v>53993.24847</v>
          </cell>
        </row>
        <row r="64">
          <cell r="A64" t="str">
            <v>geo</v>
          </cell>
          <cell r="HT64" t="str">
            <v>27204.56113</v>
          </cell>
        </row>
        <row r="65">
          <cell r="A65" t="str">
            <v>gha</v>
          </cell>
          <cell r="HT65" t="str">
            <v>7404.44027</v>
          </cell>
        </row>
        <row r="66">
          <cell r="A66" t="str">
            <v>gin</v>
          </cell>
          <cell r="HT66" t="str">
            <v>4320.52378</v>
          </cell>
        </row>
        <row r="67">
          <cell r="A67" t="str">
            <v>gmb</v>
          </cell>
          <cell r="HT67" t="str">
            <v>3199.30847</v>
          </cell>
        </row>
        <row r="68">
          <cell r="A68" t="str">
            <v>gnb</v>
          </cell>
          <cell r="HT68" t="str">
            <v>2838.37582</v>
          </cell>
        </row>
        <row r="69">
          <cell r="A69" t="str">
            <v>gnq</v>
          </cell>
          <cell r="HT69" t="str">
            <v>14767.56593</v>
          </cell>
        </row>
        <row r="70">
          <cell r="A70" t="str">
            <v>grc</v>
          </cell>
          <cell r="HT70" t="str">
            <v>39621.40673</v>
          </cell>
        </row>
        <row r="71">
          <cell r="A71" t="str">
            <v>grd</v>
          </cell>
          <cell r="HT71" t="str">
            <v>18821.06954</v>
          </cell>
        </row>
        <row r="72">
          <cell r="A72" t="str">
            <v>gtm</v>
          </cell>
          <cell r="HT72" t="str">
            <v>13328.77649</v>
          </cell>
        </row>
        <row r="73">
          <cell r="A73" t="str">
            <v>guy</v>
          </cell>
          <cell r="HT73" t="str">
            <v>79370.52198</v>
          </cell>
        </row>
        <row r="74">
          <cell r="A74" t="str">
            <v>hnd</v>
          </cell>
          <cell r="HT74" t="str">
            <v>6863.33285</v>
          </cell>
        </row>
        <row r="75">
          <cell r="A75" t="str">
            <v>hrv</v>
          </cell>
          <cell r="HT75" t="str">
            <v>45156.1289</v>
          </cell>
        </row>
        <row r="76">
          <cell r="A76" t="str">
            <v>hti</v>
          </cell>
          <cell r="HT76" t="str">
            <v>2808.66975</v>
          </cell>
        </row>
        <row r="77">
          <cell r="A77" t="str">
            <v>hun</v>
          </cell>
          <cell r="HT77" t="str">
            <v>42498.58738</v>
          </cell>
        </row>
        <row r="78">
          <cell r="A78" t="str">
            <v>idn</v>
          </cell>
          <cell r="HT78" t="str">
            <v>15391.06911</v>
          </cell>
        </row>
        <row r="79">
          <cell r="A79" t="str">
            <v>ind</v>
          </cell>
          <cell r="HT79" t="str">
            <v>10607.6231</v>
          </cell>
        </row>
        <row r="80">
          <cell r="A80" t="str">
            <v>irl</v>
          </cell>
          <cell r="HT80" t="str">
            <v>119406.2256</v>
          </cell>
        </row>
        <row r="81">
          <cell r="A81" t="str">
            <v>irn</v>
          </cell>
          <cell r="HT81" t="str">
            <v>16539.72286</v>
          </cell>
        </row>
        <row r="82">
          <cell r="A82" t="str">
            <v>irq</v>
          </cell>
          <cell r="HT82" t="str">
            <v>12554.13117</v>
          </cell>
        </row>
        <row r="83">
          <cell r="A83" t="str">
            <v>isl</v>
          </cell>
          <cell r="HT83" t="str">
            <v>67443.7438</v>
          </cell>
        </row>
        <row r="84">
          <cell r="A84" t="str">
            <v>isr</v>
          </cell>
          <cell r="HT84" t="str">
            <v>49539.47269</v>
          </cell>
        </row>
        <row r="85">
          <cell r="A85" t="str">
            <v>ita</v>
          </cell>
          <cell r="HT85" t="str">
            <v>54773.81941</v>
          </cell>
        </row>
        <row r="86">
          <cell r="A86" t="str">
            <v>jam</v>
          </cell>
          <cell r="HT86" t="str">
            <v>10741.48565</v>
          </cell>
        </row>
        <row r="87">
          <cell r="A87" t="str">
            <v>jor</v>
          </cell>
          <cell r="HT87" t="str">
            <v>9977.12098</v>
          </cell>
        </row>
        <row r="88">
          <cell r="A88" t="str">
            <v>jpn</v>
          </cell>
          <cell r="HT88" t="str">
            <v>47815.39888</v>
          </cell>
        </row>
        <row r="89">
          <cell r="A89" t="str">
            <v>kaz</v>
          </cell>
          <cell r="HT89" t="str">
            <v>38237.52103</v>
          </cell>
        </row>
        <row r="90">
          <cell r="A90" t="str">
            <v>ken</v>
          </cell>
          <cell r="HT90" t="str">
            <v>6158.76678</v>
          </cell>
        </row>
        <row r="91">
          <cell r="A91" t="str">
            <v>kgz</v>
          </cell>
          <cell r="HT91" t="str">
            <v>7567.34334</v>
          </cell>
        </row>
        <row r="92">
          <cell r="A92" t="str">
            <v>khm</v>
          </cell>
          <cell r="HT92" t="str">
            <v>7412.02083</v>
          </cell>
        </row>
        <row r="93">
          <cell r="A93" t="str">
            <v>kir</v>
          </cell>
          <cell r="HT93" t="str">
            <v>3420.85689</v>
          </cell>
        </row>
        <row r="94">
          <cell r="A94" t="str">
            <v>kna</v>
          </cell>
          <cell r="HT94" t="str">
            <v>32676.06378</v>
          </cell>
        </row>
        <row r="95">
          <cell r="A95" t="str">
            <v>kor</v>
          </cell>
          <cell r="HT95" t="str">
            <v>54667.24252</v>
          </cell>
        </row>
        <row r="96">
          <cell r="A96" t="str">
            <v>kwt</v>
          </cell>
          <cell r="HT96" t="str">
            <v>46572.35764</v>
          </cell>
        </row>
        <row r="97">
          <cell r="A97" t="str">
            <v>lao</v>
          </cell>
          <cell r="HT97" t="str">
            <v>8943.6912</v>
          </cell>
        </row>
        <row r="98">
          <cell r="A98" t="str">
            <v>lbn</v>
          </cell>
          <cell r="HT98" t="str">
            <v>10819.79651</v>
          </cell>
        </row>
        <row r="99">
          <cell r="A99" t="str">
            <v>lbr</v>
          </cell>
          <cell r="HT99" t="str">
            <v>1751.85031</v>
          </cell>
        </row>
        <row r="100">
          <cell r="A100" t="str">
            <v>lby</v>
          </cell>
          <cell r="HT100" t="str">
            <v>14636.39331</v>
          </cell>
        </row>
        <row r="101">
          <cell r="A101" t="str">
            <v>lca</v>
          </cell>
          <cell r="HT101" t="str">
            <v>25491.65151</v>
          </cell>
        </row>
        <row r="102">
          <cell r="A102" t="str">
            <v>lka</v>
          </cell>
          <cell r="HT102" t="str">
            <v>14379.8147</v>
          </cell>
        </row>
        <row r="103">
          <cell r="A103" t="str">
            <v>lso</v>
          </cell>
          <cell r="HT103" t="str">
            <v>2716.15309</v>
          </cell>
        </row>
        <row r="104">
          <cell r="A104" t="str">
            <v>ltu</v>
          </cell>
          <cell r="HT104" t="str">
            <v>49761.39795</v>
          </cell>
        </row>
        <row r="105">
          <cell r="A105" t="str">
            <v>lux</v>
          </cell>
          <cell r="HT105" t="str">
            <v>131037.5237</v>
          </cell>
        </row>
        <row r="106">
          <cell r="A106" t="str">
            <v>lva</v>
          </cell>
          <cell r="HT106" t="str">
            <v>40852.07026</v>
          </cell>
        </row>
        <row r="107">
          <cell r="A107" t="str">
            <v>mar</v>
          </cell>
          <cell r="HT107" t="str">
            <v>9582.50716</v>
          </cell>
        </row>
        <row r="108">
          <cell r="A108" t="str">
            <v>mco</v>
          </cell>
          <cell r="HT108" t="str">
            <v>475911.3352</v>
          </cell>
        </row>
        <row r="109">
          <cell r="A109" t="str">
            <v>mda</v>
          </cell>
          <cell r="HT109" t="str">
            <v>17488.86301</v>
          </cell>
        </row>
        <row r="110">
          <cell r="A110" t="str">
            <v>mdg</v>
          </cell>
          <cell r="HT110" t="str">
            <v>1720.26523</v>
          </cell>
        </row>
        <row r="111">
          <cell r="A111" t="str">
            <v>mdv</v>
          </cell>
          <cell r="HT111" t="str">
            <v>24629.31592</v>
          </cell>
        </row>
        <row r="112">
          <cell r="A112" t="str">
            <v>mex</v>
          </cell>
          <cell r="HT112" t="str">
            <v>22374.76858</v>
          </cell>
        </row>
        <row r="113">
          <cell r="A113" t="str">
            <v>mhl</v>
          </cell>
          <cell r="HT113" t="str">
            <v>7990.57932</v>
          </cell>
        </row>
        <row r="114">
          <cell r="A114" t="str">
            <v>mkd</v>
          </cell>
          <cell r="HT114" t="str">
            <v>26049.02092</v>
          </cell>
        </row>
        <row r="115">
          <cell r="A115" t="str">
            <v>mli</v>
          </cell>
          <cell r="HT115" t="str">
            <v>3038.49667</v>
          </cell>
        </row>
        <row r="116">
          <cell r="A116" t="str">
            <v>mlt</v>
          </cell>
          <cell r="HT116" t="str">
            <v>63314.49955</v>
          </cell>
        </row>
        <row r="117">
          <cell r="A117" t="str">
            <v>mmr</v>
          </cell>
          <cell r="HT117" t="str">
            <v>5493.95419</v>
          </cell>
        </row>
        <row r="118">
          <cell r="A118" t="str">
            <v>mne</v>
          </cell>
          <cell r="HT118" t="str">
            <v>29492.07923</v>
          </cell>
        </row>
        <row r="119">
          <cell r="A119" t="str">
            <v>mng</v>
          </cell>
          <cell r="HT119" t="str">
            <v>18091.8807</v>
          </cell>
        </row>
        <row r="120">
          <cell r="A120" t="str">
            <v>moz</v>
          </cell>
          <cell r="HT120" t="str">
            <v>1530.91465</v>
          </cell>
        </row>
        <row r="121">
          <cell r="A121" t="str">
            <v>mrt</v>
          </cell>
          <cell r="HT121" t="str">
            <v>6709.96294</v>
          </cell>
        </row>
        <row r="122">
          <cell r="A122" t="str">
            <v>mus</v>
          </cell>
          <cell r="HT122" t="str">
            <v>28927.4972</v>
          </cell>
        </row>
        <row r="123">
          <cell r="A123" t="str">
            <v>mwi</v>
          </cell>
          <cell r="HT123" t="str">
            <v>1689.43091</v>
          </cell>
        </row>
        <row r="124">
          <cell r="A124" t="str">
            <v>mys</v>
          </cell>
          <cell r="HT124" t="str">
            <v>35989.79488</v>
          </cell>
        </row>
        <row r="125">
          <cell r="A125" t="str">
            <v>nam</v>
          </cell>
          <cell r="HT125" t="str">
            <v>10740.46072</v>
          </cell>
        </row>
        <row r="126">
          <cell r="A126" t="str">
            <v>ner</v>
          </cell>
          <cell r="HT126" t="str">
            <v>1870.05045</v>
          </cell>
        </row>
        <row r="127">
          <cell r="A127" t="str">
            <v>nga</v>
          </cell>
          <cell r="HT127" t="str">
            <v>5848.08157</v>
          </cell>
        </row>
        <row r="128">
          <cell r="A128" t="str">
            <v>nic</v>
          </cell>
          <cell r="HT128" t="str">
            <v>8023.40633</v>
          </cell>
        </row>
        <row r="129">
          <cell r="A129" t="str">
            <v>nld</v>
          </cell>
          <cell r="HT129" t="str">
            <v>73384.1408</v>
          </cell>
        </row>
        <row r="130">
          <cell r="A130" t="str">
            <v>nor</v>
          </cell>
          <cell r="HT130" t="str">
            <v>94895.85433</v>
          </cell>
        </row>
        <row r="131">
          <cell r="A131" t="str">
            <v>npl</v>
          </cell>
          <cell r="HT131" t="str">
            <v>5329.63699</v>
          </cell>
        </row>
        <row r="132">
          <cell r="A132" t="str">
            <v>nru</v>
          </cell>
          <cell r="HT132" t="str">
            <v>12938.44098</v>
          </cell>
        </row>
        <row r="133">
          <cell r="A133" t="str">
            <v>nzl</v>
          </cell>
          <cell r="HT133" t="str">
            <v>49598.26506</v>
          </cell>
        </row>
        <row r="134">
          <cell r="A134" t="str">
            <v>omn</v>
          </cell>
          <cell r="HT134" t="str">
            <v>37310.77532</v>
          </cell>
        </row>
        <row r="135">
          <cell r="A135" t="str">
            <v>pak</v>
          </cell>
          <cell r="HT135" t="str">
            <v>5717.17543</v>
          </cell>
        </row>
        <row r="136">
          <cell r="A136" t="str">
            <v>pan</v>
          </cell>
          <cell r="HT136" t="str">
            <v>38412.09464</v>
          </cell>
        </row>
        <row r="137">
          <cell r="A137" t="str">
            <v>per</v>
          </cell>
          <cell r="HT137" t="str">
            <v>16370.68024</v>
          </cell>
        </row>
        <row r="138">
          <cell r="A138" t="str">
            <v>phl</v>
          </cell>
          <cell r="HT138" t="str">
            <v>11116.63775</v>
          </cell>
        </row>
        <row r="139">
          <cell r="A139" t="str">
            <v>plw</v>
          </cell>
          <cell r="HT139" t="str">
            <v>18884.74308</v>
          </cell>
        </row>
        <row r="140">
          <cell r="A140" t="str">
            <v>png</v>
          </cell>
          <cell r="HT140" t="str">
            <v>4521.77359</v>
          </cell>
        </row>
        <row r="141">
          <cell r="A141" t="str">
            <v>pol</v>
          </cell>
          <cell r="HT141" t="str">
            <v>47891.51537</v>
          </cell>
        </row>
        <row r="142">
          <cell r="A142" t="str">
            <v>prk</v>
          </cell>
          <cell r="HT142" t="str">
            <v>1542.77448</v>
          </cell>
        </row>
        <row r="143">
          <cell r="A143" t="str">
            <v>prt</v>
          </cell>
          <cell r="HT143" t="str">
            <v>43664.4989</v>
          </cell>
        </row>
        <row r="144">
          <cell r="A144" t="str">
            <v>pry</v>
          </cell>
          <cell r="HT144" t="str">
            <v>17153.71862</v>
          </cell>
        </row>
        <row r="145">
          <cell r="A145" t="str">
            <v>pse</v>
          </cell>
          <cell r="HT145" t="str">
            <v>3909.19827</v>
          </cell>
        </row>
        <row r="146">
          <cell r="A146" t="str">
            <v>qat</v>
          </cell>
          <cell r="HT146" t="str">
            <v>116057.3359</v>
          </cell>
        </row>
        <row r="147">
          <cell r="A147" t="str">
            <v>rou</v>
          </cell>
          <cell r="HT147" t="str">
            <v>42605.11998</v>
          </cell>
        </row>
        <row r="148">
          <cell r="A148" t="str">
            <v>rus</v>
          </cell>
          <cell r="HT148" t="str">
            <v>40870.61672</v>
          </cell>
        </row>
        <row r="149">
          <cell r="A149" t="str">
            <v>rwa</v>
          </cell>
          <cell r="HT149" t="str">
            <v>3512.30613</v>
          </cell>
        </row>
        <row r="150">
          <cell r="A150" t="str">
            <v>sau</v>
          </cell>
          <cell r="HT150" t="str">
            <v>64965.70305</v>
          </cell>
        </row>
        <row r="151">
          <cell r="A151" t="str">
            <v>sdn</v>
          </cell>
          <cell r="HT151" t="str">
            <v>1865.51403</v>
          </cell>
        </row>
        <row r="152">
          <cell r="A152" t="str">
            <v>sen</v>
          </cell>
          <cell r="HT152" t="str">
            <v>4871.28026</v>
          </cell>
        </row>
        <row r="153">
          <cell r="A153" t="str">
            <v>sgp</v>
          </cell>
          <cell r="HT153" t="str">
            <v>137905.9791</v>
          </cell>
        </row>
        <row r="154">
          <cell r="A154" t="str">
            <v>slb</v>
          </cell>
          <cell r="HT154" t="str">
            <v>2615.32949</v>
          </cell>
        </row>
        <row r="155">
          <cell r="A155" t="str">
            <v>sle</v>
          </cell>
          <cell r="HT155" t="str">
            <v>3255.82436</v>
          </cell>
        </row>
        <row r="156">
          <cell r="A156" t="str">
            <v>slv</v>
          </cell>
          <cell r="HT156" t="str">
            <v>12221.09674</v>
          </cell>
        </row>
        <row r="157">
          <cell r="A157" t="str">
            <v>smr</v>
          </cell>
          <cell r="HT157" t="str">
            <v>78126.26324</v>
          </cell>
        </row>
        <row r="158">
          <cell r="A158" t="str">
            <v>som</v>
          </cell>
          <cell r="HT158" t="str">
            <v>1462.56236</v>
          </cell>
        </row>
        <row r="159">
          <cell r="A159" t="str">
            <v>srb</v>
          </cell>
          <cell r="HT159" t="str">
            <v>28758.37917</v>
          </cell>
        </row>
        <row r="160">
          <cell r="A160" t="str">
            <v>ssd</v>
          </cell>
          <cell r="HT160" t="str">
            <v>716.249</v>
          </cell>
        </row>
        <row r="161">
          <cell r="A161" t="str">
            <v>stp</v>
          </cell>
          <cell r="HT161" t="str">
            <v>5681.95489</v>
          </cell>
        </row>
        <row r="162">
          <cell r="A162" t="str">
            <v>sur</v>
          </cell>
          <cell r="HT162" t="str">
            <v>20256.66324</v>
          </cell>
        </row>
        <row r="163">
          <cell r="A163" t="str">
            <v>svk</v>
          </cell>
          <cell r="HT163" t="str">
            <v>41977.51553</v>
          </cell>
        </row>
        <row r="164">
          <cell r="A164" t="str">
            <v>svn</v>
          </cell>
          <cell r="HT164" t="str">
            <v>50558.74404</v>
          </cell>
        </row>
        <row r="165">
          <cell r="A165" t="str">
            <v>swe</v>
          </cell>
          <cell r="HT165" t="str">
            <v>65596.66352</v>
          </cell>
        </row>
        <row r="166">
          <cell r="A166" t="str">
            <v>swz</v>
          </cell>
          <cell r="HT166" t="str">
            <v>11069.57117</v>
          </cell>
        </row>
        <row r="167">
          <cell r="A167" t="str">
            <v>syc</v>
          </cell>
          <cell r="HT167" t="str">
            <v>30802.63006</v>
          </cell>
        </row>
        <row r="168">
          <cell r="A168" t="str">
            <v>syr</v>
          </cell>
          <cell r="HT168" t="str">
            <v>4085.72011</v>
          </cell>
        </row>
        <row r="169">
          <cell r="A169" t="str">
            <v>tcd</v>
          </cell>
          <cell r="HT169" t="str">
            <v>2645.81191</v>
          </cell>
        </row>
        <row r="170">
          <cell r="A170" t="str">
            <v>tgo</v>
          </cell>
          <cell r="HT170" t="str">
            <v>3007.55596</v>
          </cell>
        </row>
        <row r="171">
          <cell r="A171" t="str">
            <v>tha</v>
          </cell>
          <cell r="HT171" t="str">
            <v>22695.94668</v>
          </cell>
        </row>
        <row r="172">
          <cell r="A172" t="str">
            <v>tjk</v>
          </cell>
          <cell r="HT172" t="str">
            <v>5122.38472</v>
          </cell>
        </row>
        <row r="173">
          <cell r="A173" t="str">
            <v>tkm</v>
          </cell>
          <cell r="HT173" t="str">
            <v>18623.63459</v>
          </cell>
        </row>
        <row r="174">
          <cell r="A174" t="str">
            <v>tls</v>
          </cell>
          <cell r="HT174" t="str">
            <v>4352.93562</v>
          </cell>
        </row>
        <row r="175">
          <cell r="A175" t="str">
            <v>ton</v>
          </cell>
          <cell r="HT175" t="str">
            <v>7839.22918</v>
          </cell>
        </row>
        <row r="176">
          <cell r="A176" t="str">
            <v>tto</v>
          </cell>
          <cell r="HT176" t="str">
            <v>33144.88032</v>
          </cell>
        </row>
        <row r="177">
          <cell r="A177" t="str">
            <v>tun</v>
          </cell>
          <cell r="HT177" t="str">
            <v>13135.58265</v>
          </cell>
        </row>
        <row r="178">
          <cell r="A178" t="str">
            <v>tur</v>
          </cell>
          <cell r="HT178" t="str">
            <v>36992.96579</v>
          </cell>
        </row>
        <row r="179">
          <cell r="A179" t="str">
            <v>tuv</v>
          </cell>
          <cell r="HT179" t="str">
            <v>6632.53597</v>
          </cell>
        </row>
        <row r="180">
          <cell r="A180" t="str">
            <v>tza</v>
          </cell>
          <cell r="HT180" t="str">
            <v>3924.40183</v>
          </cell>
        </row>
        <row r="181">
          <cell r="A181" t="str">
            <v>uga</v>
          </cell>
          <cell r="HT181" t="str">
            <v>3047.99489</v>
          </cell>
        </row>
        <row r="182">
          <cell r="A182" t="str">
            <v>ukr</v>
          </cell>
          <cell r="HT182" t="str">
            <v>15014.25715</v>
          </cell>
        </row>
        <row r="183">
          <cell r="A183" t="str">
            <v>ury</v>
          </cell>
          <cell r="HT183" t="str">
            <v>33757.56245</v>
          </cell>
        </row>
        <row r="184">
          <cell r="A184" t="str">
            <v>usa</v>
          </cell>
          <cell r="HT184" t="str">
            <v>78388.58461</v>
          </cell>
        </row>
        <row r="185">
          <cell r="A185" t="str">
            <v>uzb</v>
          </cell>
          <cell r="HT185" t="str">
            <v>11127.00974</v>
          </cell>
        </row>
        <row r="186">
          <cell r="A186" t="str">
            <v>vct</v>
          </cell>
          <cell r="HT186" t="str">
            <v>20092.3654</v>
          </cell>
        </row>
        <row r="187">
          <cell r="A187" t="str">
            <v>ven</v>
          </cell>
          <cell r="HT187" t="str">
            <v>8899.072</v>
          </cell>
        </row>
        <row r="188">
          <cell r="A188" t="str">
            <v>vnm</v>
          </cell>
          <cell r="HT188" t="str">
            <v>15429.33526</v>
          </cell>
        </row>
        <row r="189">
          <cell r="A189" t="str">
            <v>vut</v>
          </cell>
          <cell r="HT189" t="str">
            <v>3188.80002</v>
          </cell>
        </row>
        <row r="190">
          <cell r="A190" t="str">
            <v>wsm</v>
          </cell>
          <cell r="HT190" t="str">
            <v>7412.51789</v>
          </cell>
        </row>
        <row r="191">
          <cell r="A191" t="str">
            <v>yem</v>
          </cell>
          <cell r="HT191" t="str">
            <v>1721.89143</v>
          </cell>
        </row>
        <row r="192">
          <cell r="A192" t="str">
            <v>zaf</v>
          </cell>
          <cell r="HT192" t="str">
            <v>13889.23888</v>
          </cell>
        </row>
        <row r="193">
          <cell r="A193" t="str">
            <v>zmb</v>
          </cell>
          <cell r="HT193" t="str">
            <v>3944.46383</v>
          </cell>
        </row>
        <row r="194">
          <cell r="A194" t="str">
            <v>zwe</v>
          </cell>
          <cell r="HT194" t="str">
            <v>3675.57058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_lnd_totl_k2"/>
    </sheetNames>
    <sheetDataSet>
      <sheetData sheetId="0">
        <row r="2">
          <cell r="A2" t="str">
            <v>afg</v>
          </cell>
          <cell r="BM2" t="str">
            <v>652230</v>
          </cell>
        </row>
        <row r="3">
          <cell r="A3" t="str">
            <v>ago</v>
          </cell>
          <cell r="BM3" t="str">
            <v>1246700</v>
          </cell>
        </row>
        <row r="4">
          <cell r="A4" t="str">
            <v>alb</v>
          </cell>
          <cell r="BM4" t="str">
            <v>27400</v>
          </cell>
        </row>
        <row r="5">
          <cell r="A5" t="str">
            <v>and</v>
          </cell>
          <cell r="BM5" t="str">
            <v>470</v>
          </cell>
        </row>
        <row r="6">
          <cell r="A6" t="str">
            <v>are</v>
          </cell>
          <cell r="BM6" t="str">
            <v>71020</v>
          </cell>
        </row>
        <row r="7">
          <cell r="A7" t="str">
            <v>arg</v>
          </cell>
          <cell r="BM7" t="str">
            <v>2736690</v>
          </cell>
        </row>
        <row r="8">
          <cell r="A8" t="str">
            <v>arm</v>
          </cell>
          <cell r="BM8" t="str">
            <v>28199.44</v>
          </cell>
        </row>
        <row r="9">
          <cell r="A9" t="str">
            <v>atg</v>
          </cell>
          <cell r="BM9" t="str">
            <v>440</v>
          </cell>
        </row>
        <row r="10">
          <cell r="A10" t="str">
            <v>aus</v>
          </cell>
          <cell r="BM10" t="str">
            <v>7692020</v>
          </cell>
        </row>
        <row r="11">
          <cell r="A11" t="str">
            <v>aut</v>
          </cell>
          <cell r="BM11" t="str">
            <v>82520</v>
          </cell>
        </row>
        <row r="12">
          <cell r="A12" t="str">
            <v>aze</v>
          </cell>
          <cell r="BM12" t="str">
            <v>82650</v>
          </cell>
        </row>
        <row r="13">
          <cell r="A13" t="str">
            <v>bdi</v>
          </cell>
          <cell r="BM13" t="str">
            <v>25680</v>
          </cell>
        </row>
        <row r="14">
          <cell r="A14" t="str">
            <v>bel</v>
          </cell>
          <cell r="BM14" t="str">
            <v>30494</v>
          </cell>
        </row>
        <row r="15">
          <cell r="A15" t="str">
            <v>ben</v>
          </cell>
          <cell r="BM15" t="str">
            <v>112760</v>
          </cell>
        </row>
        <row r="16">
          <cell r="A16" t="str">
            <v>bfa</v>
          </cell>
          <cell r="BM16" t="str">
            <v>273600</v>
          </cell>
        </row>
        <row r="17">
          <cell r="A17" t="str">
            <v>bgd</v>
          </cell>
          <cell r="BM17" t="str">
            <v>129980</v>
          </cell>
        </row>
        <row r="18">
          <cell r="A18" t="str">
            <v>bgr</v>
          </cell>
          <cell r="BM18" t="str">
            <v>108560</v>
          </cell>
        </row>
        <row r="19">
          <cell r="A19" t="str">
            <v>bhr</v>
          </cell>
          <cell r="BM19" t="str">
            <v>800</v>
          </cell>
        </row>
        <row r="20">
          <cell r="A20" t="str">
            <v>bhs</v>
          </cell>
          <cell r="BM20" t="str">
            <v>10010</v>
          </cell>
        </row>
        <row r="21">
          <cell r="A21" t="str">
            <v>bih</v>
          </cell>
          <cell r="BM21" t="str">
            <v>51200</v>
          </cell>
        </row>
        <row r="22">
          <cell r="A22" t="str">
            <v>blr</v>
          </cell>
          <cell r="BM22" t="str">
            <v>202983</v>
          </cell>
        </row>
        <row r="23">
          <cell r="A23" t="str">
            <v>blz</v>
          </cell>
          <cell r="BM23" t="str">
            <v>22810</v>
          </cell>
        </row>
        <row r="24">
          <cell r="A24" t="str">
            <v>bol</v>
          </cell>
          <cell r="BM24" t="str">
            <v>1083300</v>
          </cell>
        </row>
        <row r="25">
          <cell r="A25" t="str">
            <v>bra</v>
          </cell>
          <cell r="BM25" t="str">
            <v>8358140</v>
          </cell>
        </row>
        <row r="26">
          <cell r="A26" t="str">
            <v>brb</v>
          </cell>
          <cell r="BM26" t="str">
            <v>430</v>
          </cell>
        </row>
        <row r="27">
          <cell r="A27" t="str">
            <v>brn</v>
          </cell>
          <cell r="BM27" t="str">
            <v>5270</v>
          </cell>
        </row>
        <row r="28">
          <cell r="A28" t="str">
            <v>btn</v>
          </cell>
          <cell r="BM28" t="str">
            <v>38140</v>
          </cell>
        </row>
        <row r="29">
          <cell r="A29" t="str">
            <v>bwa</v>
          </cell>
          <cell r="BM29" t="str">
            <v>566730</v>
          </cell>
        </row>
        <row r="30">
          <cell r="A30" t="str">
            <v>caf</v>
          </cell>
          <cell r="BM30" t="str">
            <v>622980</v>
          </cell>
        </row>
        <row r="31">
          <cell r="A31" t="str">
            <v>can</v>
          </cell>
          <cell r="BM31" t="str">
            <v>8788700</v>
          </cell>
        </row>
        <row r="32">
          <cell r="A32" t="str">
            <v>che</v>
          </cell>
          <cell r="BM32" t="str">
            <v>39509.63</v>
          </cell>
        </row>
        <row r="33">
          <cell r="A33" t="str">
            <v>chl</v>
          </cell>
          <cell r="BM33" t="str">
            <v>742831.64</v>
          </cell>
        </row>
        <row r="34">
          <cell r="A34" t="str">
            <v>chn</v>
          </cell>
          <cell r="BM34" t="str">
            <v>9388210</v>
          </cell>
        </row>
        <row r="35">
          <cell r="A35" t="str">
            <v>civ</v>
          </cell>
          <cell r="BM35" t="str">
            <v>318000</v>
          </cell>
        </row>
        <row r="36">
          <cell r="A36" t="str">
            <v>cmr</v>
          </cell>
          <cell r="BM36" t="str">
            <v>472710</v>
          </cell>
        </row>
        <row r="37">
          <cell r="A37" t="str">
            <v>cod</v>
          </cell>
          <cell r="BM37" t="str">
            <v>2267050</v>
          </cell>
        </row>
        <row r="38">
          <cell r="A38" t="str">
            <v>cog</v>
          </cell>
          <cell r="BM38" t="str">
            <v>341500</v>
          </cell>
        </row>
        <row r="39">
          <cell r="A39" t="str">
            <v>col</v>
          </cell>
          <cell r="BM39" t="str">
            <v>1109500</v>
          </cell>
        </row>
        <row r="40">
          <cell r="A40" t="str">
            <v>com</v>
          </cell>
          <cell r="BM40" t="str">
            <v>1861</v>
          </cell>
        </row>
        <row r="41">
          <cell r="A41" t="str">
            <v>cpv</v>
          </cell>
          <cell r="BM41" t="str">
            <v>4030</v>
          </cell>
        </row>
        <row r="42">
          <cell r="A42" t="str">
            <v>cri</v>
          </cell>
          <cell r="BM42" t="str">
            <v>51060</v>
          </cell>
        </row>
        <row r="43">
          <cell r="A43" t="str">
            <v>cub</v>
          </cell>
          <cell r="BM43" t="str">
            <v>103800</v>
          </cell>
        </row>
        <row r="44">
          <cell r="A44" t="str">
            <v>cyp</v>
          </cell>
          <cell r="BM44" t="str">
            <v>9240</v>
          </cell>
        </row>
        <row r="45">
          <cell r="A45" t="str">
            <v>cze</v>
          </cell>
          <cell r="BM45" t="str">
            <v>77167.31</v>
          </cell>
        </row>
        <row r="46">
          <cell r="A46" t="str">
            <v>deu</v>
          </cell>
          <cell r="BM46" t="str">
            <v>349430</v>
          </cell>
        </row>
        <row r="47">
          <cell r="A47" t="str">
            <v>dji</v>
          </cell>
          <cell r="BM47" t="str">
            <v>23180</v>
          </cell>
        </row>
        <row r="48">
          <cell r="A48" t="str">
            <v>dma</v>
          </cell>
          <cell r="BM48" t="str">
            <v>750</v>
          </cell>
        </row>
        <row r="49">
          <cell r="A49" t="str">
            <v>dnk</v>
          </cell>
          <cell r="BM49" t="str">
            <v>40000</v>
          </cell>
        </row>
        <row r="50">
          <cell r="A50" t="str">
            <v>dom</v>
          </cell>
          <cell r="BM50" t="str">
            <v>48198.02</v>
          </cell>
        </row>
        <row r="51">
          <cell r="A51" t="str">
            <v>dza</v>
          </cell>
          <cell r="BM51" t="str">
            <v>2381740</v>
          </cell>
        </row>
        <row r="52">
          <cell r="A52" t="str">
            <v>ecu</v>
          </cell>
          <cell r="BM52" t="str">
            <v>248360</v>
          </cell>
        </row>
        <row r="53">
          <cell r="A53" t="str">
            <v>egy</v>
          </cell>
          <cell r="BM53" t="str">
            <v>995450</v>
          </cell>
        </row>
        <row r="54">
          <cell r="A54" t="str">
            <v>eri</v>
          </cell>
          <cell r="BM54" t="str">
            <v>121178.2</v>
          </cell>
        </row>
        <row r="55">
          <cell r="A55" t="str">
            <v>esp</v>
          </cell>
          <cell r="BM55" t="str">
            <v>499697.4</v>
          </cell>
        </row>
        <row r="56">
          <cell r="A56" t="str">
            <v>est</v>
          </cell>
          <cell r="BM56" t="str">
            <v>42730</v>
          </cell>
        </row>
        <row r="57">
          <cell r="A57" t="str">
            <v>eth</v>
          </cell>
          <cell r="BM57" t="str">
            <v>1128498.8</v>
          </cell>
        </row>
        <row r="58">
          <cell r="A58" t="str">
            <v>fin</v>
          </cell>
          <cell r="BM58" t="str">
            <v>303960</v>
          </cell>
        </row>
        <row r="59">
          <cell r="A59" t="str">
            <v>fji</v>
          </cell>
          <cell r="BM59" t="str">
            <v>18270</v>
          </cell>
        </row>
        <row r="60">
          <cell r="A60" t="str">
            <v>fra</v>
          </cell>
          <cell r="BM60" t="str">
            <v>538950</v>
          </cell>
        </row>
        <row r="61">
          <cell r="A61" t="str">
            <v>fsm</v>
          </cell>
          <cell r="BM61" t="str">
            <v>700</v>
          </cell>
        </row>
        <row r="62">
          <cell r="A62" t="str">
            <v>gab</v>
          </cell>
          <cell r="BM62" t="str">
            <v>257670</v>
          </cell>
        </row>
        <row r="63">
          <cell r="A63" t="str">
            <v>gbr</v>
          </cell>
          <cell r="BM63" t="str">
            <v>241930</v>
          </cell>
        </row>
        <row r="64">
          <cell r="A64" t="str">
            <v>geo</v>
          </cell>
          <cell r="BM64" t="str">
            <v>69490</v>
          </cell>
        </row>
        <row r="65">
          <cell r="A65" t="str">
            <v>gha</v>
          </cell>
          <cell r="BM65" t="str">
            <v>227533</v>
          </cell>
        </row>
        <row r="66">
          <cell r="A66" t="str">
            <v>gin</v>
          </cell>
          <cell r="BM66" t="str">
            <v>245720</v>
          </cell>
        </row>
        <row r="67">
          <cell r="A67" t="str">
            <v>gmb</v>
          </cell>
          <cell r="BM67" t="str">
            <v>10120</v>
          </cell>
        </row>
        <row r="68">
          <cell r="A68" t="str">
            <v>gnb</v>
          </cell>
          <cell r="BM68" t="str">
            <v>28120</v>
          </cell>
        </row>
        <row r="69">
          <cell r="A69" t="str">
            <v>gnq</v>
          </cell>
          <cell r="BM69" t="str">
            <v>28050</v>
          </cell>
        </row>
        <row r="70">
          <cell r="A70" t="str">
            <v>grc</v>
          </cell>
          <cell r="BM70" t="str">
            <v>128900</v>
          </cell>
        </row>
        <row r="71">
          <cell r="A71" t="str">
            <v>grd</v>
          </cell>
          <cell r="BM71" t="str">
            <v>340</v>
          </cell>
        </row>
        <row r="72">
          <cell r="A72" t="str">
            <v>gtm</v>
          </cell>
          <cell r="BM72" t="str">
            <v>107160</v>
          </cell>
        </row>
        <row r="73">
          <cell r="A73" t="str">
            <v>guy</v>
          </cell>
          <cell r="BM73" t="str">
            <v>211140</v>
          </cell>
        </row>
        <row r="74">
          <cell r="A74" t="str">
            <v>hnd</v>
          </cell>
          <cell r="BM74" t="str">
            <v>111890</v>
          </cell>
        </row>
        <row r="75">
          <cell r="A75" t="str">
            <v>hrv</v>
          </cell>
          <cell r="BM75" t="str">
            <v>55960</v>
          </cell>
        </row>
        <row r="76">
          <cell r="A76" t="str">
            <v>hti</v>
          </cell>
          <cell r="BM76" t="str">
            <v>27560</v>
          </cell>
        </row>
        <row r="77">
          <cell r="A77" t="str">
            <v>hun</v>
          </cell>
          <cell r="BM77" t="str">
            <v>91260</v>
          </cell>
        </row>
        <row r="78">
          <cell r="A78" t="str">
            <v>idn</v>
          </cell>
          <cell r="BM78" t="str">
            <v>1892555.47</v>
          </cell>
        </row>
        <row r="79">
          <cell r="A79" t="str">
            <v>ind</v>
          </cell>
          <cell r="BM79" t="str">
            <v>2973190</v>
          </cell>
        </row>
        <row r="80">
          <cell r="A80" t="str">
            <v>irl</v>
          </cell>
          <cell r="BM80" t="str">
            <v>68890</v>
          </cell>
        </row>
        <row r="81">
          <cell r="A81" t="str">
            <v>irn</v>
          </cell>
          <cell r="BM81" t="str">
            <v>1622500</v>
          </cell>
        </row>
        <row r="82">
          <cell r="A82" t="str">
            <v>irq</v>
          </cell>
          <cell r="BM82" t="str">
            <v>434130</v>
          </cell>
        </row>
        <row r="83">
          <cell r="A83" t="str">
            <v>isl</v>
          </cell>
          <cell r="BM83" t="str">
            <v>100830</v>
          </cell>
        </row>
        <row r="84">
          <cell r="A84" t="str">
            <v>isr</v>
          </cell>
          <cell r="BM84" t="str">
            <v>21640</v>
          </cell>
        </row>
        <row r="85">
          <cell r="A85" t="str">
            <v>ita</v>
          </cell>
          <cell r="BM85" t="str">
            <v>295720</v>
          </cell>
        </row>
        <row r="86">
          <cell r="A86" t="str">
            <v>jam</v>
          </cell>
          <cell r="BM86" t="str">
            <v>10830</v>
          </cell>
        </row>
        <row r="87">
          <cell r="A87" t="str">
            <v>jor</v>
          </cell>
          <cell r="BM87" t="str">
            <v>88794</v>
          </cell>
        </row>
        <row r="88">
          <cell r="A88" t="str">
            <v>jpn</v>
          </cell>
          <cell r="BM88" t="str">
            <v>364569.27</v>
          </cell>
        </row>
        <row r="89">
          <cell r="A89" t="str">
            <v>kaz</v>
          </cell>
          <cell r="BM89" t="str">
            <v>2699700</v>
          </cell>
        </row>
        <row r="90">
          <cell r="A90" t="str">
            <v>ken</v>
          </cell>
          <cell r="BM90" t="str">
            <v>580876.3</v>
          </cell>
        </row>
        <row r="91">
          <cell r="A91" t="str">
            <v>kgz</v>
          </cell>
          <cell r="BM91" t="str">
            <v>191800</v>
          </cell>
        </row>
        <row r="92">
          <cell r="A92" t="str">
            <v>khm</v>
          </cell>
          <cell r="BM92" t="str">
            <v>176520</v>
          </cell>
        </row>
        <row r="93">
          <cell r="A93" t="str">
            <v>kir</v>
          </cell>
          <cell r="BM93" t="str">
            <v>810</v>
          </cell>
        </row>
        <row r="94">
          <cell r="A94" t="str">
            <v>kna</v>
          </cell>
          <cell r="BM94" t="str">
            <v>260</v>
          </cell>
        </row>
        <row r="95">
          <cell r="A95" t="str">
            <v>kor</v>
          </cell>
          <cell r="BM95" t="str">
            <v>97600</v>
          </cell>
        </row>
        <row r="96">
          <cell r="A96" t="str">
            <v>kwt</v>
          </cell>
          <cell r="BM96" t="str">
            <v>17820</v>
          </cell>
        </row>
        <row r="97">
          <cell r="A97" t="str">
            <v>lao</v>
          </cell>
          <cell r="BM97" t="str">
            <v>230800</v>
          </cell>
        </row>
        <row r="98">
          <cell r="A98" t="str">
            <v>lbn</v>
          </cell>
          <cell r="BM98" t="str">
            <v>10230</v>
          </cell>
        </row>
        <row r="99">
          <cell r="A99" t="str">
            <v>lbr</v>
          </cell>
          <cell r="BM99" t="str">
            <v>96320</v>
          </cell>
        </row>
        <row r="100">
          <cell r="A100" t="str">
            <v>lby</v>
          </cell>
          <cell r="BM100" t="str">
            <v>1759540</v>
          </cell>
        </row>
        <row r="101">
          <cell r="A101" t="str">
            <v>lca</v>
          </cell>
          <cell r="BM101" t="str">
            <v>610</v>
          </cell>
        </row>
        <row r="102">
          <cell r="A102" t="str">
            <v>lie</v>
          </cell>
          <cell r="BM102" t="str">
            <v>160</v>
          </cell>
        </row>
        <row r="103">
          <cell r="A103" t="str">
            <v>lka</v>
          </cell>
          <cell r="BM103" t="str">
            <v>61860</v>
          </cell>
        </row>
        <row r="104">
          <cell r="A104" t="str">
            <v>lso</v>
          </cell>
          <cell r="BM104" t="str">
            <v>30360</v>
          </cell>
        </row>
        <row r="105">
          <cell r="A105" t="str">
            <v>ltu</v>
          </cell>
          <cell r="BM105" t="str">
            <v>62600</v>
          </cell>
        </row>
        <row r="106">
          <cell r="A106" t="str">
            <v>lux</v>
          </cell>
          <cell r="BM106" t="str">
            <v>2574.46</v>
          </cell>
        </row>
        <row r="107">
          <cell r="A107" t="str">
            <v>lva</v>
          </cell>
          <cell r="BM107" t="str">
            <v>62230</v>
          </cell>
        </row>
        <row r="108">
          <cell r="A108" t="str">
            <v>mar</v>
          </cell>
          <cell r="BM108" t="str">
            <v>446300</v>
          </cell>
        </row>
        <row r="109">
          <cell r="A109" t="str">
            <v>mco</v>
          </cell>
          <cell r="BM109" t="str">
            <v>2.084</v>
          </cell>
        </row>
        <row r="110">
          <cell r="A110" t="str">
            <v>mda</v>
          </cell>
          <cell r="BM110" t="str">
            <v>32930</v>
          </cell>
        </row>
        <row r="111">
          <cell r="A111" t="str">
            <v>mdg</v>
          </cell>
          <cell r="BM111" t="str">
            <v>581800</v>
          </cell>
        </row>
        <row r="112">
          <cell r="A112" t="str">
            <v>mdv</v>
          </cell>
          <cell r="BM112" t="str">
            <v>298</v>
          </cell>
        </row>
        <row r="113">
          <cell r="A113" t="str">
            <v>mex</v>
          </cell>
          <cell r="BM113" t="str">
            <v>1943950</v>
          </cell>
        </row>
        <row r="114">
          <cell r="A114" t="str">
            <v>mhl</v>
          </cell>
          <cell r="BM114" t="str">
            <v>180</v>
          </cell>
        </row>
        <row r="115">
          <cell r="A115" t="str">
            <v>mkd</v>
          </cell>
          <cell r="BM115" t="str">
            <v>25220</v>
          </cell>
        </row>
        <row r="116">
          <cell r="A116" t="str">
            <v>mli</v>
          </cell>
          <cell r="BM116" t="str">
            <v>1220190</v>
          </cell>
        </row>
        <row r="117">
          <cell r="A117" t="str">
            <v>mlt</v>
          </cell>
          <cell r="BM117" t="str">
            <v>320</v>
          </cell>
        </row>
        <row r="118">
          <cell r="A118" t="str">
            <v>mmr</v>
          </cell>
          <cell r="BM118" t="str">
            <v>652670</v>
          </cell>
        </row>
        <row r="119">
          <cell r="A119" t="str">
            <v>mne</v>
          </cell>
          <cell r="BM119" t="str">
            <v>13450</v>
          </cell>
        </row>
        <row r="120">
          <cell r="A120" t="str">
            <v>mng</v>
          </cell>
          <cell r="BM120" t="str">
            <v>1558499.786</v>
          </cell>
        </row>
        <row r="121">
          <cell r="A121" t="str">
            <v>moz</v>
          </cell>
          <cell r="BM121" t="str">
            <v>786380</v>
          </cell>
        </row>
        <row r="122">
          <cell r="A122" t="str">
            <v>mrt</v>
          </cell>
          <cell r="BM122" t="str">
            <v>1030700</v>
          </cell>
        </row>
        <row r="123">
          <cell r="A123" t="str">
            <v>mus</v>
          </cell>
          <cell r="BM123" t="str">
            <v>1997</v>
          </cell>
        </row>
        <row r="124">
          <cell r="A124" t="str">
            <v>mwi</v>
          </cell>
          <cell r="BM124" t="str">
            <v>94280</v>
          </cell>
        </row>
        <row r="125">
          <cell r="A125" t="str">
            <v>mys</v>
          </cell>
          <cell r="BM125" t="str">
            <v>328550</v>
          </cell>
        </row>
        <row r="126">
          <cell r="A126" t="str">
            <v>nam</v>
          </cell>
          <cell r="BM126" t="str">
            <v>823290</v>
          </cell>
        </row>
        <row r="127">
          <cell r="A127" t="str">
            <v>ner</v>
          </cell>
          <cell r="BM127" t="str">
            <v>1266700</v>
          </cell>
        </row>
        <row r="128">
          <cell r="A128" t="str">
            <v>nga</v>
          </cell>
          <cell r="BM128" t="str">
            <v>910770</v>
          </cell>
        </row>
        <row r="129">
          <cell r="A129" t="str">
            <v>nic</v>
          </cell>
          <cell r="BM129" t="str">
            <v>120340</v>
          </cell>
        </row>
        <row r="130">
          <cell r="A130" t="str">
            <v>nld</v>
          </cell>
          <cell r="BM130" t="str">
            <v>33670</v>
          </cell>
        </row>
        <row r="131">
          <cell r="A131" t="str">
            <v>nor</v>
          </cell>
          <cell r="BM131" t="str">
            <v>364270</v>
          </cell>
        </row>
        <row r="132">
          <cell r="A132" t="str">
            <v>npl</v>
          </cell>
          <cell r="BM132" t="str">
            <v>143350</v>
          </cell>
        </row>
        <row r="133">
          <cell r="A133" t="str">
            <v>nru</v>
          </cell>
          <cell r="BM133" t="str">
            <v>20</v>
          </cell>
        </row>
        <row r="134">
          <cell r="A134" t="str">
            <v>nzl</v>
          </cell>
          <cell r="BM134" t="str">
            <v>263310</v>
          </cell>
        </row>
        <row r="135">
          <cell r="A135" t="str">
            <v>omn</v>
          </cell>
          <cell r="BM135" t="str">
            <v>309500</v>
          </cell>
        </row>
        <row r="136">
          <cell r="A136" t="str">
            <v>pak</v>
          </cell>
          <cell r="BM136" t="str">
            <v>770880</v>
          </cell>
        </row>
        <row r="137">
          <cell r="A137" t="str">
            <v>pan</v>
          </cell>
          <cell r="BM137" t="str">
            <v>74180</v>
          </cell>
        </row>
        <row r="138">
          <cell r="A138" t="str">
            <v>per</v>
          </cell>
          <cell r="BM138" t="str">
            <v>1280000</v>
          </cell>
        </row>
        <row r="139">
          <cell r="A139" t="str">
            <v>phl</v>
          </cell>
          <cell r="BM139" t="str">
            <v>298170</v>
          </cell>
        </row>
        <row r="140">
          <cell r="A140" t="str">
            <v>plw</v>
          </cell>
          <cell r="BM140" t="str">
            <v>460</v>
          </cell>
        </row>
        <row r="141">
          <cell r="A141" t="str">
            <v>png</v>
          </cell>
          <cell r="BM141" t="str">
            <v>452860</v>
          </cell>
        </row>
        <row r="142">
          <cell r="A142" t="str">
            <v>pol</v>
          </cell>
          <cell r="BM142" t="str">
            <v>306270</v>
          </cell>
        </row>
        <row r="143">
          <cell r="A143" t="str">
            <v>prk</v>
          </cell>
          <cell r="BM143" t="str">
            <v>120410</v>
          </cell>
        </row>
        <row r="144">
          <cell r="A144" t="str">
            <v>prt</v>
          </cell>
          <cell r="BM144" t="str">
            <v>91605.6</v>
          </cell>
        </row>
        <row r="145">
          <cell r="A145" t="str">
            <v>pry</v>
          </cell>
          <cell r="BM145" t="str">
            <v>396012.03</v>
          </cell>
        </row>
        <row r="146">
          <cell r="A146" t="str">
            <v>pse</v>
          </cell>
          <cell r="BM146" t="str">
            <v>6025</v>
          </cell>
        </row>
        <row r="147">
          <cell r="A147" t="str">
            <v>qat</v>
          </cell>
          <cell r="BM147" t="str">
            <v>11490</v>
          </cell>
        </row>
        <row r="148">
          <cell r="A148" t="str">
            <v>rou</v>
          </cell>
          <cell r="BM148" t="str">
            <v>230080</v>
          </cell>
        </row>
        <row r="149">
          <cell r="A149" t="str">
            <v>rus</v>
          </cell>
          <cell r="BM149" t="str">
            <v>16376870</v>
          </cell>
        </row>
        <row r="150">
          <cell r="A150" t="str">
            <v>rwa</v>
          </cell>
          <cell r="BM150" t="str">
            <v>24670</v>
          </cell>
        </row>
        <row r="151">
          <cell r="A151" t="str">
            <v>sau</v>
          </cell>
          <cell r="BM151" t="str">
            <v>2149690</v>
          </cell>
        </row>
        <row r="152">
          <cell r="A152" t="str">
            <v>sdn</v>
          </cell>
          <cell r="BM152" t="str">
            <v>1868000</v>
          </cell>
        </row>
        <row r="153">
          <cell r="A153" t="str">
            <v>sen</v>
          </cell>
          <cell r="BM153" t="str">
            <v>192530</v>
          </cell>
        </row>
        <row r="154">
          <cell r="A154" t="str">
            <v>sgp</v>
          </cell>
          <cell r="BM154" t="str">
            <v>718</v>
          </cell>
        </row>
        <row r="155">
          <cell r="A155" t="str">
            <v>slb</v>
          </cell>
          <cell r="BM155" t="str">
            <v>27990</v>
          </cell>
        </row>
        <row r="156">
          <cell r="A156" t="str">
            <v>sle</v>
          </cell>
          <cell r="BM156" t="str">
            <v>72180</v>
          </cell>
        </row>
        <row r="157">
          <cell r="A157" t="str">
            <v>slv</v>
          </cell>
          <cell r="BM157" t="str">
            <v>20720</v>
          </cell>
        </row>
        <row r="158">
          <cell r="A158" t="str">
            <v>smr</v>
          </cell>
          <cell r="BM158" t="str">
            <v>60</v>
          </cell>
        </row>
        <row r="159">
          <cell r="A159" t="str">
            <v>som</v>
          </cell>
          <cell r="BM159" t="str">
            <v>627340</v>
          </cell>
        </row>
        <row r="160">
          <cell r="A160" t="str">
            <v>srb</v>
          </cell>
          <cell r="BM160" t="str">
            <v>84090</v>
          </cell>
        </row>
        <row r="161">
          <cell r="A161" t="str">
            <v>ssd</v>
          </cell>
          <cell r="BM161" t="str">
            <v>631930</v>
          </cell>
        </row>
        <row r="162">
          <cell r="A162" t="str">
            <v>stp</v>
          </cell>
          <cell r="BM162" t="str">
            <v>960</v>
          </cell>
        </row>
        <row r="163">
          <cell r="A163" t="str">
            <v>sur</v>
          </cell>
          <cell r="BM163" t="str">
            <v>160507.61</v>
          </cell>
        </row>
        <row r="164">
          <cell r="A164" t="str">
            <v>svk</v>
          </cell>
          <cell r="BM164" t="str">
            <v>48080</v>
          </cell>
        </row>
        <row r="165">
          <cell r="A165" t="str">
            <v>svn</v>
          </cell>
          <cell r="BM165" t="str">
            <v>20134.5</v>
          </cell>
        </row>
        <row r="166">
          <cell r="A166" t="str">
            <v>swe</v>
          </cell>
          <cell r="BM166" t="str">
            <v>407270</v>
          </cell>
        </row>
        <row r="167">
          <cell r="A167" t="str">
            <v>swz</v>
          </cell>
          <cell r="BM167" t="str">
            <v>17200</v>
          </cell>
        </row>
        <row r="168">
          <cell r="A168" t="str">
            <v>syc</v>
          </cell>
          <cell r="BM168" t="str">
            <v>460</v>
          </cell>
        </row>
        <row r="169">
          <cell r="A169" t="str">
            <v>syr</v>
          </cell>
          <cell r="BM169" t="str">
            <v>183630</v>
          </cell>
        </row>
        <row r="170">
          <cell r="A170" t="str">
            <v>tcd</v>
          </cell>
          <cell r="BM170" t="str">
            <v>1259200</v>
          </cell>
        </row>
        <row r="171">
          <cell r="A171" t="str">
            <v>tgo</v>
          </cell>
          <cell r="BM171" t="str">
            <v>54390</v>
          </cell>
        </row>
        <row r="172">
          <cell r="A172" t="str">
            <v>tha</v>
          </cell>
          <cell r="BM172" t="str">
            <v>510890</v>
          </cell>
        </row>
        <row r="173">
          <cell r="A173" t="str">
            <v>tjk</v>
          </cell>
          <cell r="BM173" t="str">
            <v>138790</v>
          </cell>
        </row>
        <row r="174">
          <cell r="A174" t="str">
            <v>tkm</v>
          </cell>
          <cell r="BM174" t="str">
            <v>469930</v>
          </cell>
        </row>
        <row r="175">
          <cell r="A175" t="str">
            <v>tls</v>
          </cell>
          <cell r="BM175" t="str">
            <v>14870</v>
          </cell>
        </row>
        <row r="176">
          <cell r="A176" t="str">
            <v>ton</v>
          </cell>
          <cell r="BM176" t="str">
            <v>720</v>
          </cell>
        </row>
        <row r="177">
          <cell r="A177" t="str">
            <v>tto</v>
          </cell>
          <cell r="BM177" t="str">
            <v>5130</v>
          </cell>
        </row>
        <row r="178">
          <cell r="A178" t="str">
            <v>tun</v>
          </cell>
          <cell r="BM178" t="str">
            <v>155360</v>
          </cell>
        </row>
        <row r="179">
          <cell r="A179" t="str">
            <v>tur</v>
          </cell>
          <cell r="BM179" t="str">
            <v>769630</v>
          </cell>
        </row>
        <row r="180">
          <cell r="A180" t="str">
            <v>tuv</v>
          </cell>
          <cell r="BM180" t="str">
            <v>30</v>
          </cell>
        </row>
        <row r="181">
          <cell r="A181" t="str">
            <v>tza</v>
          </cell>
          <cell r="BM181" t="str">
            <v>885800</v>
          </cell>
        </row>
        <row r="182">
          <cell r="A182" t="str">
            <v>uga</v>
          </cell>
          <cell r="BM182" t="str">
            <v>200520</v>
          </cell>
        </row>
        <row r="183">
          <cell r="A183" t="str">
            <v>ukr</v>
          </cell>
          <cell r="BM183" t="str">
            <v>579400</v>
          </cell>
        </row>
        <row r="184">
          <cell r="A184" t="str">
            <v>ury</v>
          </cell>
          <cell r="BM184" t="str">
            <v>175020</v>
          </cell>
        </row>
        <row r="185">
          <cell r="A185" t="str">
            <v>usa</v>
          </cell>
          <cell r="BM185" t="str">
            <v>9147420</v>
          </cell>
        </row>
        <row r="186">
          <cell r="A186" t="str">
            <v>uzb</v>
          </cell>
          <cell r="BM186" t="str">
            <v>440650</v>
          </cell>
        </row>
        <row r="187">
          <cell r="A187" t="str">
            <v>vct</v>
          </cell>
          <cell r="BM187" t="str">
            <v>390</v>
          </cell>
        </row>
        <row r="188">
          <cell r="A188" t="str">
            <v>ven</v>
          </cell>
          <cell r="BM188" t="str">
            <v>882050</v>
          </cell>
        </row>
        <row r="189">
          <cell r="A189" t="str">
            <v>vnm</v>
          </cell>
          <cell r="BM189" t="str">
            <v>313429</v>
          </cell>
        </row>
        <row r="190">
          <cell r="A190" t="str">
            <v>vut</v>
          </cell>
          <cell r="BM190" t="str">
            <v>12190</v>
          </cell>
        </row>
        <row r="191">
          <cell r="A191" t="str">
            <v>wsm</v>
          </cell>
          <cell r="BM191" t="str">
            <v>2780</v>
          </cell>
        </row>
        <row r="192">
          <cell r="A192" t="str">
            <v>yem</v>
          </cell>
          <cell r="BM192" t="str">
            <v>527970</v>
          </cell>
        </row>
        <row r="193">
          <cell r="A193" t="str">
            <v>zaf</v>
          </cell>
          <cell r="BM193" t="str">
            <v>1213090</v>
          </cell>
        </row>
        <row r="194">
          <cell r="A194" t="str">
            <v>zmb</v>
          </cell>
          <cell r="BM194" t="str">
            <v>743390</v>
          </cell>
        </row>
        <row r="195">
          <cell r="A195" t="str">
            <v>zwe</v>
          </cell>
          <cell r="BM195" t="str">
            <v>386850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ustrial_water_withdrawal_per"/>
    </sheetNames>
    <sheetDataSet>
      <sheetData sheetId="0">
        <row r="2">
          <cell r="A2" t="str">
            <v>afg</v>
          </cell>
          <cell r="BH2" t="str">
            <v>0.83199</v>
          </cell>
        </row>
        <row r="3">
          <cell r="A3" t="str">
            <v>ago</v>
          </cell>
          <cell r="BH3" t="str">
            <v>33.947</v>
          </cell>
        </row>
        <row r="4">
          <cell r="A4" t="str">
            <v>alb</v>
          </cell>
          <cell r="BH4" t="str">
            <v>1.3802</v>
          </cell>
        </row>
        <row r="5">
          <cell r="A5" t="str">
            <v>are</v>
          </cell>
          <cell r="BH5" t="str">
            <v>1.1416</v>
          </cell>
        </row>
        <row r="6">
          <cell r="A6" t="str">
            <v>arg</v>
          </cell>
          <cell r="BH6" t="str">
            <v>10.588</v>
          </cell>
        </row>
        <row r="7">
          <cell r="A7" t="str">
            <v>arm</v>
          </cell>
          <cell r="BH7" t="str">
            <v>4.8828</v>
          </cell>
        </row>
        <row r="8">
          <cell r="A8" t="str">
            <v>atg</v>
          </cell>
          <cell r="BH8" t="str">
            <v>21.739</v>
          </cell>
        </row>
        <row r="9">
          <cell r="A9" t="str">
            <v>aus</v>
          </cell>
          <cell r="BH9" t="str">
            <v>18.589</v>
          </cell>
        </row>
        <row r="10">
          <cell r="A10" t="str">
            <v>aut</v>
          </cell>
          <cell r="BH10" t="str">
            <v>93.314</v>
          </cell>
        </row>
        <row r="11">
          <cell r="A11" t="str">
            <v>aze</v>
          </cell>
          <cell r="BH11" t="str">
            <v>4.6114</v>
          </cell>
        </row>
        <row r="12">
          <cell r="A12" t="str">
            <v>bdi</v>
          </cell>
          <cell r="BH12" t="str">
            <v>5.3552</v>
          </cell>
        </row>
        <row r="13">
          <cell r="A13" t="str">
            <v>bel</v>
          </cell>
          <cell r="BH13" t="str">
            <v>84.109</v>
          </cell>
        </row>
        <row r="14">
          <cell r="A14" t="str">
            <v>ben</v>
          </cell>
          <cell r="BH14" t="str">
            <v>12.821</v>
          </cell>
        </row>
        <row r="15">
          <cell r="A15" t="str">
            <v>bfa</v>
          </cell>
          <cell r="BH15" t="str">
            <v>2.6528</v>
          </cell>
        </row>
        <row r="16">
          <cell r="A16" t="str">
            <v>bgd</v>
          </cell>
          <cell r="BH16" t="str">
            <v>2.1466</v>
          </cell>
        </row>
        <row r="17">
          <cell r="A17" t="str">
            <v>bgr</v>
          </cell>
          <cell r="BH17" t="str">
            <v>71.26</v>
          </cell>
        </row>
        <row r="18">
          <cell r="A18" t="str">
            <v>bhr</v>
          </cell>
          <cell r="BH18" t="str">
            <v>3.2459</v>
          </cell>
        </row>
        <row r="19">
          <cell r="A19" t="str">
            <v>blr</v>
          </cell>
          <cell r="BH19" t="str">
            <v>30.41</v>
          </cell>
        </row>
        <row r="20">
          <cell r="A20" t="str">
            <v>blz</v>
          </cell>
          <cell r="BH20" t="str">
            <v>20.99</v>
          </cell>
        </row>
        <row r="21">
          <cell r="A21" t="str">
            <v>bol</v>
          </cell>
          <cell r="BH21" t="str">
            <v>1.4513</v>
          </cell>
        </row>
        <row r="22">
          <cell r="A22" t="str">
            <v>bra</v>
          </cell>
          <cell r="BH22" t="str">
            <v>15.013</v>
          </cell>
        </row>
        <row r="23">
          <cell r="A23" t="str">
            <v>brb</v>
          </cell>
          <cell r="BH23" t="str">
            <v>7.6543</v>
          </cell>
        </row>
        <row r="24">
          <cell r="A24" t="str">
            <v>btn</v>
          </cell>
          <cell r="BH24" t="str">
            <v>0.88757</v>
          </cell>
        </row>
        <row r="25">
          <cell r="A25" t="str">
            <v>bwa</v>
          </cell>
          <cell r="BH25" t="str">
            <v>11.391</v>
          </cell>
        </row>
        <row r="26">
          <cell r="A26" t="str">
            <v>caf</v>
          </cell>
          <cell r="BH26" t="str">
            <v>16.552</v>
          </cell>
        </row>
        <row r="27">
          <cell r="A27" t="str">
            <v>can</v>
          </cell>
          <cell r="BH27" t="str">
            <v>75.813</v>
          </cell>
        </row>
        <row r="28">
          <cell r="A28" t="str">
            <v>che</v>
          </cell>
          <cell r="BH28" t="str">
            <v>37.09</v>
          </cell>
        </row>
        <row r="29">
          <cell r="A29" t="str">
            <v>chl</v>
          </cell>
          <cell r="BH29" t="str">
            <v>5.1282</v>
          </cell>
        </row>
        <row r="30">
          <cell r="A30" t="str">
            <v>chn</v>
          </cell>
          <cell r="BH30" t="str">
            <v>17.726</v>
          </cell>
        </row>
        <row r="31">
          <cell r="A31" t="str">
            <v>civ</v>
          </cell>
          <cell r="BH31" t="str">
            <v>20.826</v>
          </cell>
        </row>
        <row r="32">
          <cell r="A32" t="str">
            <v>cmr</v>
          </cell>
          <cell r="BH32" t="str">
            <v>9.6104</v>
          </cell>
        </row>
        <row r="33">
          <cell r="A33" t="str">
            <v>cod</v>
          </cell>
          <cell r="BH33" t="str">
            <v>21.475</v>
          </cell>
        </row>
        <row r="34">
          <cell r="A34" t="str">
            <v>cog</v>
          </cell>
          <cell r="BH34" t="str">
            <v>26.172</v>
          </cell>
        </row>
        <row r="35">
          <cell r="A35" t="str">
            <v>col</v>
          </cell>
          <cell r="BH35" t="str">
            <v>4.1491</v>
          </cell>
        </row>
        <row r="36">
          <cell r="A36" t="str">
            <v>com</v>
          </cell>
          <cell r="BH36" t="str">
            <v>5</v>
          </cell>
        </row>
        <row r="37">
          <cell r="A37" t="str">
            <v>cpv</v>
          </cell>
          <cell r="BH37" t="str">
            <v>2.1206</v>
          </cell>
        </row>
        <row r="38">
          <cell r="A38" t="str">
            <v>cri</v>
          </cell>
          <cell r="BH38" t="str">
            <v>7.1178</v>
          </cell>
        </row>
        <row r="39">
          <cell r="A39" t="str">
            <v>cub</v>
          </cell>
          <cell r="BH39" t="str">
            <v>10.634</v>
          </cell>
        </row>
        <row r="40">
          <cell r="A40" t="str">
            <v>cyp</v>
          </cell>
          <cell r="BH40" t="str">
            <v>5.8824</v>
          </cell>
        </row>
        <row r="41">
          <cell r="A41" t="str">
            <v>cze</v>
          </cell>
          <cell r="BH41" t="str">
            <v>53.665</v>
          </cell>
        </row>
        <row r="42">
          <cell r="A42" t="str">
            <v>deu</v>
          </cell>
          <cell r="BH42" t="str">
            <v>54.3</v>
          </cell>
        </row>
        <row r="43">
          <cell r="A43" t="str">
            <v>dji</v>
          </cell>
        </row>
        <row r="44">
          <cell r="A44" t="str">
            <v>dma</v>
          </cell>
        </row>
        <row r="45">
          <cell r="A45" t="str">
            <v>dnk</v>
          </cell>
          <cell r="BH45" t="str">
            <v>4.8243</v>
          </cell>
        </row>
        <row r="46">
          <cell r="A46" t="str">
            <v>dom</v>
          </cell>
          <cell r="BH46" t="str">
            <v>7.2693</v>
          </cell>
        </row>
        <row r="47">
          <cell r="A47" t="str">
            <v>dza</v>
          </cell>
          <cell r="BH47" t="str">
            <v>1.6513</v>
          </cell>
        </row>
        <row r="48">
          <cell r="A48" t="str">
            <v>ecu</v>
          </cell>
          <cell r="BH48" t="str">
            <v>5.5354</v>
          </cell>
        </row>
        <row r="49">
          <cell r="A49" t="str">
            <v>egy</v>
          </cell>
          <cell r="BH49" t="str">
            <v>6.9677</v>
          </cell>
        </row>
        <row r="50">
          <cell r="A50" t="str">
            <v>eri</v>
          </cell>
          <cell r="BH50" t="str">
            <v>0.17182</v>
          </cell>
        </row>
        <row r="51">
          <cell r="A51" t="str">
            <v>esp</v>
          </cell>
          <cell r="BH51" t="str">
            <v>18.952</v>
          </cell>
        </row>
        <row r="52">
          <cell r="A52" t="str">
            <v>est</v>
          </cell>
          <cell r="BH52" t="str">
            <v>94.193</v>
          </cell>
        </row>
        <row r="53">
          <cell r="A53" t="str">
            <v>eth</v>
          </cell>
          <cell r="BH53" t="str">
            <v>0.48445</v>
          </cell>
        </row>
        <row r="54">
          <cell r="A54" t="str">
            <v>fin</v>
          </cell>
          <cell r="BH54" t="str">
            <v>46.411</v>
          </cell>
        </row>
        <row r="55">
          <cell r="A55" t="str">
            <v>fji</v>
          </cell>
          <cell r="BH55" t="str">
            <v>11.307</v>
          </cell>
        </row>
        <row r="56">
          <cell r="A56" t="str">
            <v>fra</v>
          </cell>
          <cell r="BH56" t="str">
            <v>68.125</v>
          </cell>
        </row>
        <row r="57">
          <cell r="A57" t="str">
            <v>gab</v>
          </cell>
          <cell r="BH57" t="str">
            <v>10.137</v>
          </cell>
        </row>
        <row r="58">
          <cell r="A58" t="str">
            <v>gbr</v>
          </cell>
          <cell r="BH58" t="str">
            <v>11.995</v>
          </cell>
        </row>
        <row r="59">
          <cell r="A59" t="str">
            <v>geo</v>
          </cell>
          <cell r="BH59" t="str">
            <v>27.406</v>
          </cell>
        </row>
        <row r="60">
          <cell r="A60" t="str">
            <v>gha</v>
          </cell>
          <cell r="BH60" t="str">
            <v>6.4864</v>
          </cell>
        </row>
        <row r="61">
          <cell r="A61" t="str">
            <v>gin</v>
          </cell>
          <cell r="BH61" t="str">
            <v>6.7416</v>
          </cell>
        </row>
        <row r="62">
          <cell r="A62" t="str">
            <v>gmb</v>
          </cell>
          <cell r="BH62" t="str">
            <v>20.866</v>
          </cell>
        </row>
        <row r="63">
          <cell r="A63" t="str">
            <v>gnb</v>
          </cell>
          <cell r="BH63" t="str">
            <v>6.2632</v>
          </cell>
        </row>
        <row r="64">
          <cell r="A64" t="str">
            <v>gnq</v>
          </cell>
          <cell r="BH64" t="str">
            <v>15.152</v>
          </cell>
        </row>
        <row r="65">
          <cell r="A65" t="str">
            <v>grc</v>
          </cell>
          <cell r="BH65" t="str">
            <v>2.7774</v>
          </cell>
        </row>
        <row r="66">
          <cell r="A66" t="str">
            <v>grd</v>
          </cell>
        </row>
        <row r="67">
          <cell r="A67" t="str">
            <v>gtm</v>
          </cell>
          <cell r="BH67" t="str">
            <v>18.143</v>
          </cell>
        </row>
        <row r="68">
          <cell r="A68" t="str">
            <v>guy</v>
          </cell>
          <cell r="BH68" t="str">
            <v>1.4121</v>
          </cell>
        </row>
        <row r="69">
          <cell r="A69" t="str">
            <v>hnd</v>
          </cell>
          <cell r="BH69" t="str">
            <v>7.094</v>
          </cell>
        </row>
        <row r="70">
          <cell r="A70" t="str">
            <v>hrv</v>
          </cell>
          <cell r="BH70" t="str">
            <v>46.752</v>
          </cell>
        </row>
        <row r="71">
          <cell r="A71" t="str">
            <v>hti</v>
          </cell>
          <cell r="BH71" t="str">
            <v>3.5172</v>
          </cell>
        </row>
        <row r="72">
          <cell r="A72" t="str">
            <v>hun</v>
          </cell>
          <cell r="BH72" t="str">
            <v>75.664</v>
          </cell>
        </row>
        <row r="73">
          <cell r="A73" t="str">
            <v>idn</v>
          </cell>
          <cell r="BH73" t="str">
            <v>4.1031</v>
          </cell>
        </row>
        <row r="74">
          <cell r="A74" t="str">
            <v>ind</v>
          </cell>
          <cell r="BH74" t="str">
            <v>2.2339</v>
          </cell>
        </row>
        <row r="75">
          <cell r="A75" t="str">
            <v>irl</v>
          </cell>
          <cell r="BH75" t="str">
            <v>31.788</v>
          </cell>
        </row>
        <row r="76">
          <cell r="A76" t="str">
            <v>irn</v>
          </cell>
          <cell r="BH76" t="str">
            <v>1.179</v>
          </cell>
        </row>
        <row r="77">
          <cell r="A77" t="str">
            <v>irq</v>
          </cell>
          <cell r="BH77" t="str">
            <v>10.654</v>
          </cell>
        </row>
        <row r="78">
          <cell r="A78" t="str">
            <v>isl</v>
          </cell>
          <cell r="BH78" t="str">
            <v>71.146</v>
          </cell>
        </row>
        <row r="79">
          <cell r="A79" t="str">
            <v>isr</v>
          </cell>
          <cell r="BH79" t="str">
            <v>4.0243</v>
          </cell>
        </row>
        <row r="80">
          <cell r="A80" t="str">
            <v>ita</v>
          </cell>
          <cell r="BH80" t="str">
            <v>22.749</v>
          </cell>
        </row>
        <row r="81">
          <cell r="A81" t="str">
            <v>jam</v>
          </cell>
          <cell r="BH81" t="str">
            <v>9.5044</v>
          </cell>
        </row>
        <row r="82">
          <cell r="A82" t="str">
            <v>jor</v>
          </cell>
          <cell r="BH82" t="str">
            <v>3.338</v>
          </cell>
        </row>
        <row r="83">
          <cell r="A83" t="str">
            <v>jpn</v>
          </cell>
          <cell r="BH83" t="str">
            <v>16.352</v>
          </cell>
        </row>
        <row r="84">
          <cell r="A84" t="str">
            <v>kaz</v>
          </cell>
          <cell r="BH84" t="str">
            <v>23.85</v>
          </cell>
        </row>
        <row r="85">
          <cell r="A85" t="str">
            <v>ken</v>
          </cell>
          <cell r="BH85" t="str">
            <v>7.5149</v>
          </cell>
        </row>
        <row r="86">
          <cell r="A86" t="str">
            <v>kgz</v>
          </cell>
          <cell r="BH86" t="str">
            <v>4.3864</v>
          </cell>
        </row>
        <row r="87">
          <cell r="A87" t="str">
            <v>khm</v>
          </cell>
          <cell r="BH87" t="str">
            <v>1.511</v>
          </cell>
        </row>
        <row r="88">
          <cell r="A88" t="str">
            <v>kna</v>
          </cell>
        </row>
        <row r="89">
          <cell r="A89" t="str">
            <v>kor</v>
          </cell>
          <cell r="BH89" t="str">
            <v>16.432</v>
          </cell>
        </row>
        <row r="90">
          <cell r="A90" t="str">
            <v>kwt</v>
          </cell>
          <cell r="BH90" t="str">
            <v>1.864</v>
          </cell>
        </row>
        <row r="91">
          <cell r="A91" t="str">
            <v>lao</v>
          </cell>
          <cell r="BH91" t="str">
            <v>2.3129</v>
          </cell>
        </row>
        <row r="92">
          <cell r="A92" t="str">
            <v>lbn</v>
          </cell>
          <cell r="BH92" t="str">
            <v>48.913</v>
          </cell>
        </row>
        <row r="93">
          <cell r="A93" t="str">
            <v>lbr</v>
          </cell>
          <cell r="BH93" t="str">
            <v>36.6</v>
          </cell>
        </row>
        <row r="94">
          <cell r="A94" t="str">
            <v>lby</v>
          </cell>
          <cell r="BH94" t="str">
            <v>4.8027</v>
          </cell>
        </row>
        <row r="95">
          <cell r="A95" t="str">
            <v>lca</v>
          </cell>
        </row>
        <row r="96">
          <cell r="A96" t="str">
            <v>lka</v>
          </cell>
          <cell r="BH96" t="str">
            <v>6.419</v>
          </cell>
        </row>
        <row r="97">
          <cell r="A97" t="str">
            <v>lso</v>
          </cell>
          <cell r="BH97" t="str">
            <v>45.662</v>
          </cell>
        </row>
        <row r="98">
          <cell r="A98" t="str">
            <v>ltu</v>
          </cell>
          <cell r="BH98" t="str">
            <v>29.285</v>
          </cell>
        </row>
        <row r="99">
          <cell r="A99" t="str">
            <v>lux</v>
          </cell>
          <cell r="BH99" t="str">
            <v>3.8333</v>
          </cell>
        </row>
        <row r="100">
          <cell r="A100" t="str">
            <v>lva</v>
          </cell>
          <cell r="BH100" t="str">
            <v>17.577</v>
          </cell>
        </row>
        <row r="101">
          <cell r="A101" t="str">
            <v>mar</v>
          </cell>
          <cell r="BH101" t="str">
            <v>2.0324</v>
          </cell>
        </row>
        <row r="102">
          <cell r="A102" t="str">
            <v>mco</v>
          </cell>
        </row>
        <row r="103">
          <cell r="A103" t="str">
            <v>mda</v>
          </cell>
          <cell r="BH103" t="str">
            <v>73.058</v>
          </cell>
        </row>
        <row r="104">
          <cell r="A104" t="str">
            <v>mdg</v>
          </cell>
          <cell r="BH104" t="str">
            <v>1.1942</v>
          </cell>
        </row>
        <row r="105">
          <cell r="A105" t="str">
            <v>mdv</v>
          </cell>
          <cell r="BH105" t="str">
            <v>5.0847</v>
          </cell>
        </row>
        <row r="106">
          <cell r="A106" t="str">
            <v>mex</v>
          </cell>
          <cell r="BH106" t="str">
            <v>8.8558</v>
          </cell>
        </row>
        <row r="107">
          <cell r="A107" t="str">
            <v>mkd</v>
          </cell>
          <cell r="BH107" t="str">
            <v>1.4525</v>
          </cell>
        </row>
        <row r="108">
          <cell r="A108" t="str">
            <v>mli</v>
          </cell>
          <cell r="BH108" t="str">
            <v>0.07713</v>
          </cell>
        </row>
        <row r="109">
          <cell r="A109" t="str">
            <v>mlt</v>
          </cell>
          <cell r="BH109" t="str">
            <v>1.6167</v>
          </cell>
        </row>
        <row r="110">
          <cell r="A110" t="str">
            <v>mmr</v>
          </cell>
          <cell r="BH110" t="str">
            <v>1.4926</v>
          </cell>
        </row>
        <row r="111">
          <cell r="A111" t="str">
            <v>mne</v>
          </cell>
          <cell r="BH111" t="str">
            <v>94.197</v>
          </cell>
        </row>
        <row r="112">
          <cell r="A112" t="str">
            <v>mng</v>
          </cell>
          <cell r="BH112" t="str">
            <v>35.943</v>
          </cell>
        </row>
        <row r="113">
          <cell r="A113" t="str">
            <v>moz</v>
          </cell>
          <cell r="BH113" t="str">
            <v>1.6972</v>
          </cell>
        </row>
        <row r="114">
          <cell r="A114" t="str">
            <v>mrt</v>
          </cell>
          <cell r="BH114" t="str">
            <v>2.3552</v>
          </cell>
        </row>
        <row r="115">
          <cell r="A115" t="str">
            <v>mus</v>
          </cell>
          <cell r="BH115" t="str">
            <v>1.5798</v>
          </cell>
        </row>
        <row r="116">
          <cell r="A116" t="str">
            <v>mwi</v>
          </cell>
          <cell r="BH116" t="str">
            <v>3.5156</v>
          </cell>
        </row>
        <row r="117">
          <cell r="A117" t="str">
            <v>mys</v>
          </cell>
          <cell r="BH117" t="str">
            <v>29.902</v>
          </cell>
        </row>
        <row r="118">
          <cell r="A118" t="str">
            <v>nam</v>
          </cell>
          <cell r="BH118" t="str">
            <v>6.6186</v>
          </cell>
        </row>
        <row r="119">
          <cell r="A119" t="str">
            <v>ner</v>
          </cell>
          <cell r="BH119" t="str">
            <v>1.4963</v>
          </cell>
        </row>
        <row r="120">
          <cell r="A120" t="str">
            <v>nga</v>
          </cell>
          <cell r="BH120" t="str">
            <v>15.752</v>
          </cell>
        </row>
        <row r="121">
          <cell r="A121" t="str">
            <v>nic</v>
          </cell>
          <cell r="BH121" t="str">
            <v>0.04867</v>
          </cell>
        </row>
        <row r="122">
          <cell r="A122" t="str">
            <v>nld</v>
          </cell>
          <cell r="BH122" t="str">
            <v>70.249</v>
          </cell>
        </row>
        <row r="123">
          <cell r="A123" t="str">
            <v>nor</v>
          </cell>
          <cell r="BH123" t="str">
            <v>39.824</v>
          </cell>
        </row>
        <row r="124">
          <cell r="A124" t="str">
            <v>npl</v>
          </cell>
          <cell r="BH124" t="str">
            <v>0.31062</v>
          </cell>
        </row>
        <row r="125">
          <cell r="A125" t="str">
            <v>nzl</v>
          </cell>
          <cell r="BH125" t="str">
            <v>23.977</v>
          </cell>
        </row>
        <row r="126">
          <cell r="A126" t="str">
            <v>omn</v>
          </cell>
          <cell r="BH126" t="str">
            <v>12.428</v>
          </cell>
        </row>
        <row r="127">
          <cell r="A127" t="str">
            <v>pak</v>
          </cell>
          <cell r="BH127" t="str">
            <v>0.76315</v>
          </cell>
        </row>
        <row r="128">
          <cell r="A128" t="str">
            <v>pan</v>
          </cell>
          <cell r="BH128" t="str">
            <v>0.5118</v>
          </cell>
        </row>
        <row r="129">
          <cell r="A129" t="str">
            <v>per</v>
          </cell>
          <cell r="BH129" t="str">
            <v>6.4277</v>
          </cell>
        </row>
        <row r="130">
          <cell r="A130" t="str">
            <v>phl</v>
          </cell>
          <cell r="BH130" t="str">
            <v>14.941</v>
          </cell>
        </row>
        <row r="131">
          <cell r="A131" t="str">
            <v>png</v>
          </cell>
          <cell r="BH131" t="str">
            <v>42.744</v>
          </cell>
        </row>
        <row r="132">
          <cell r="A132" t="str">
            <v>pol</v>
          </cell>
          <cell r="BH132" t="str">
            <v>65.492</v>
          </cell>
        </row>
        <row r="133">
          <cell r="A133" t="str">
            <v>prk</v>
          </cell>
          <cell r="BH133" t="str">
            <v>13.225</v>
          </cell>
        </row>
        <row r="134">
          <cell r="A134" t="str">
            <v>prt</v>
          </cell>
          <cell r="BH134" t="str">
            <v>29.658</v>
          </cell>
        </row>
        <row r="135">
          <cell r="A135" t="str">
            <v>pry</v>
          </cell>
          <cell r="BH135" t="str">
            <v>6.3821</v>
          </cell>
        </row>
        <row r="136">
          <cell r="A136" t="str">
            <v>pse</v>
          </cell>
          <cell r="BH136" t="str">
            <v>8.296</v>
          </cell>
        </row>
        <row r="137">
          <cell r="A137" t="str">
            <v>qat</v>
          </cell>
          <cell r="BH137" t="str">
            <v>4.301</v>
          </cell>
        </row>
        <row r="138">
          <cell r="A138" t="str">
            <v>rou</v>
          </cell>
          <cell r="BH138" t="str">
            <v>48.338</v>
          </cell>
        </row>
        <row r="139">
          <cell r="A139" t="str">
            <v>rus</v>
          </cell>
          <cell r="BH139" t="str">
            <v>44.786</v>
          </cell>
        </row>
        <row r="140">
          <cell r="A140" t="str">
            <v>rwa</v>
          </cell>
          <cell r="BH140" t="str">
            <v>1.6639</v>
          </cell>
        </row>
        <row r="141">
          <cell r="A141" t="str">
            <v>sau</v>
          </cell>
          <cell r="BH141" t="str">
            <v>5.3863</v>
          </cell>
        </row>
        <row r="142">
          <cell r="A142" t="str">
            <v>sdn</v>
          </cell>
          <cell r="BH142" t="str">
            <v>0.27845</v>
          </cell>
        </row>
        <row r="143">
          <cell r="A143" t="str">
            <v>sen</v>
          </cell>
          <cell r="BH143" t="str">
            <v>0.04676</v>
          </cell>
        </row>
        <row r="144">
          <cell r="A144" t="str">
            <v>sgp</v>
          </cell>
          <cell r="BH144" t="str">
            <v>45.069</v>
          </cell>
        </row>
        <row r="145">
          <cell r="A145" t="str">
            <v>sle</v>
          </cell>
          <cell r="BH145" t="str">
            <v>26.155</v>
          </cell>
        </row>
        <row r="146">
          <cell r="A146" t="str">
            <v>slv</v>
          </cell>
          <cell r="BH146" t="str">
            <v>4.8653</v>
          </cell>
        </row>
        <row r="147">
          <cell r="A147" t="str">
            <v>som</v>
          </cell>
          <cell r="BH147" t="str">
            <v>0.06064</v>
          </cell>
        </row>
        <row r="148">
          <cell r="A148" t="str">
            <v>srb</v>
          </cell>
          <cell r="BH148" t="str">
            <v>77.922</v>
          </cell>
        </row>
        <row r="149">
          <cell r="A149" t="str">
            <v>ssd</v>
          </cell>
          <cell r="BH149" t="str">
            <v>34.195</v>
          </cell>
        </row>
        <row r="150">
          <cell r="A150" t="str">
            <v>stp</v>
          </cell>
          <cell r="BH150" t="str">
            <v>1.467</v>
          </cell>
        </row>
        <row r="151">
          <cell r="A151" t="str">
            <v>sur</v>
          </cell>
          <cell r="BH151" t="str">
            <v>22</v>
          </cell>
        </row>
        <row r="152">
          <cell r="A152" t="str">
            <v>svk</v>
          </cell>
          <cell r="BH152" t="str">
            <v>39.843</v>
          </cell>
        </row>
        <row r="153">
          <cell r="A153" t="str">
            <v>svn</v>
          </cell>
          <cell r="BH153" t="str">
            <v>77.993</v>
          </cell>
        </row>
        <row r="154">
          <cell r="A154" t="str">
            <v>swe</v>
          </cell>
          <cell r="BH154" t="str">
            <v>61.267</v>
          </cell>
        </row>
        <row r="155">
          <cell r="A155" t="str">
            <v>swz</v>
          </cell>
          <cell r="BH155" t="str">
            <v>1.9382</v>
          </cell>
        </row>
        <row r="156">
          <cell r="A156" t="str">
            <v>syc</v>
          </cell>
          <cell r="BH156" t="str">
            <v>27.737</v>
          </cell>
        </row>
        <row r="157">
          <cell r="A157" t="str">
            <v>syr</v>
          </cell>
          <cell r="BH157" t="str">
            <v>3.6718</v>
          </cell>
        </row>
        <row r="158">
          <cell r="A158" t="str">
            <v>tcd</v>
          </cell>
          <cell r="BH158" t="str">
            <v>11.789</v>
          </cell>
        </row>
        <row r="159">
          <cell r="A159" t="str">
            <v>tgo</v>
          </cell>
          <cell r="BH159" t="str">
            <v>2.8251</v>
          </cell>
        </row>
        <row r="160">
          <cell r="A160" t="str">
            <v>tha</v>
          </cell>
          <cell r="BH160" t="str">
            <v>4.8459</v>
          </cell>
        </row>
        <row r="161">
          <cell r="A161" t="str">
            <v>tjk</v>
          </cell>
          <cell r="BH161" t="str">
            <v>16.263</v>
          </cell>
        </row>
        <row r="162">
          <cell r="A162" t="str">
            <v>tkm</v>
          </cell>
          <cell r="BH162" t="str">
            <v>4.642</v>
          </cell>
        </row>
        <row r="163">
          <cell r="A163" t="str">
            <v>tls</v>
          </cell>
          <cell r="BH163" t="str">
            <v>0.17065</v>
          </cell>
        </row>
        <row r="164">
          <cell r="A164" t="str">
            <v>tto</v>
          </cell>
          <cell r="BH164" t="str">
            <v>33.638</v>
          </cell>
        </row>
        <row r="165">
          <cell r="A165" t="str">
            <v>tun</v>
          </cell>
          <cell r="BH165" t="str">
            <v>1.7255</v>
          </cell>
        </row>
        <row r="166">
          <cell r="A166" t="str">
            <v>tur</v>
          </cell>
          <cell r="BH166" t="str">
            <v>2.0083</v>
          </cell>
        </row>
        <row r="167">
          <cell r="A167" t="str">
            <v>tza</v>
          </cell>
          <cell r="BH167" t="str">
            <v>0.48225</v>
          </cell>
        </row>
        <row r="168">
          <cell r="A168" t="str">
            <v>uga</v>
          </cell>
          <cell r="BH168" t="str">
            <v>7.8493</v>
          </cell>
        </row>
        <row r="169">
          <cell r="A169" t="str">
            <v>ukr</v>
          </cell>
          <cell r="BH169" t="str">
            <v>44.844</v>
          </cell>
        </row>
        <row r="170">
          <cell r="A170" t="str">
            <v>ury</v>
          </cell>
          <cell r="BH170" t="str">
            <v>13.393</v>
          </cell>
        </row>
        <row r="171">
          <cell r="A171" t="str">
            <v>usa</v>
          </cell>
          <cell r="BH171" t="str">
            <v>47.199</v>
          </cell>
        </row>
        <row r="172">
          <cell r="A172" t="str">
            <v>uzb</v>
          </cell>
          <cell r="BH172" t="str">
            <v>2.6966</v>
          </cell>
        </row>
        <row r="173">
          <cell r="A173" t="str">
            <v>vct</v>
          </cell>
          <cell r="BH173" t="str">
            <v>0.02352</v>
          </cell>
        </row>
        <row r="174">
          <cell r="A174" t="str">
            <v>ven</v>
          </cell>
          <cell r="BH174" t="str">
            <v>3.5061</v>
          </cell>
        </row>
        <row r="175">
          <cell r="A175" t="str">
            <v>vnm</v>
          </cell>
          <cell r="BH175" t="str">
            <v>3.7474</v>
          </cell>
        </row>
        <row r="176">
          <cell r="A176" t="str">
            <v>yem</v>
          </cell>
          <cell r="BH176" t="str">
            <v>1.8233</v>
          </cell>
        </row>
        <row r="177">
          <cell r="A177" t="str">
            <v>zaf</v>
          </cell>
          <cell r="BH177" t="str">
            <v>23.16</v>
          </cell>
        </row>
        <row r="178">
          <cell r="A178" t="str">
            <v>zmb</v>
          </cell>
          <cell r="BH178" t="str">
            <v>8.2697</v>
          </cell>
        </row>
        <row r="179">
          <cell r="A179" t="str">
            <v>zwe</v>
          </cell>
          <cell r="BH179" t="str">
            <v>1.657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gricultural_water_withdrawal_p"/>
    </sheetNames>
    <sheetDataSet>
      <sheetData sheetId="0" refreshError="1">
        <row r="2">
          <cell r="A2" t="str">
            <v>afg</v>
          </cell>
          <cell r="BH2" t="str">
            <v>98.17</v>
          </cell>
        </row>
        <row r="3">
          <cell r="A3" t="str">
            <v>ago</v>
          </cell>
          <cell r="BH3" t="str">
            <v>20.785</v>
          </cell>
        </row>
        <row r="4">
          <cell r="A4" t="str">
            <v>alb</v>
          </cell>
          <cell r="BH4" t="str">
            <v>70.891</v>
          </cell>
        </row>
        <row r="5">
          <cell r="A5" t="str">
            <v>are</v>
          </cell>
          <cell r="BH5" t="str">
            <v>51.18</v>
          </cell>
        </row>
        <row r="6">
          <cell r="A6" t="str">
            <v>arg</v>
          </cell>
          <cell r="BH6" t="str">
            <v>73.928</v>
          </cell>
        </row>
        <row r="7">
          <cell r="A7" t="str">
            <v>arm</v>
          </cell>
          <cell r="BH7" t="str">
            <v>77.474</v>
          </cell>
        </row>
        <row r="8">
          <cell r="A8" t="str">
            <v>atg</v>
          </cell>
          <cell r="BH8" t="str">
            <v>15.652</v>
          </cell>
        </row>
        <row r="9">
          <cell r="A9" t="str">
            <v>aus</v>
          </cell>
          <cell r="BH9" t="str">
            <v>66.886</v>
          </cell>
        </row>
        <row r="10">
          <cell r="A10" t="str">
            <v>aut</v>
          </cell>
          <cell r="BH10" t="str">
            <v>5.2357</v>
          </cell>
        </row>
        <row r="11">
          <cell r="A11" t="str">
            <v>aze</v>
          </cell>
          <cell r="BH11" t="str">
            <v>92.242</v>
          </cell>
        </row>
        <row r="12">
          <cell r="A12" t="str">
            <v>bdi</v>
          </cell>
          <cell r="BH12" t="str">
            <v>79.257</v>
          </cell>
        </row>
        <row r="13">
          <cell r="A13" t="str">
            <v>bel</v>
          </cell>
          <cell r="BH13" t="str">
            <v>0.85268</v>
          </cell>
        </row>
        <row r="14">
          <cell r="A14" t="str">
            <v>ben</v>
          </cell>
          <cell r="BH14" t="str">
            <v>25.214</v>
          </cell>
        </row>
        <row r="15">
          <cell r="A15" t="str">
            <v>bfa</v>
          </cell>
          <cell r="BH15" t="str">
            <v>51.43</v>
          </cell>
        </row>
        <row r="16">
          <cell r="A16" t="str">
            <v>bgd</v>
          </cell>
          <cell r="BH16" t="str">
            <v>87.817</v>
          </cell>
        </row>
        <row r="17">
          <cell r="A17" t="str">
            <v>bgr</v>
          </cell>
          <cell r="BH17" t="str">
            <v>13.345</v>
          </cell>
        </row>
        <row r="18">
          <cell r="A18" t="str">
            <v>bhr</v>
          </cell>
          <cell r="BH18" t="str">
            <v>33.31</v>
          </cell>
        </row>
        <row r="19">
          <cell r="A19" t="str">
            <v>blr</v>
          </cell>
          <cell r="BH19" t="str">
            <v>27.228</v>
          </cell>
        </row>
        <row r="20">
          <cell r="A20" t="str">
            <v>blz</v>
          </cell>
          <cell r="BH20" t="str">
            <v>67.723</v>
          </cell>
        </row>
        <row r="21">
          <cell r="A21" t="str">
            <v>bol</v>
          </cell>
          <cell r="BH21" t="str">
            <v>87.078</v>
          </cell>
        </row>
        <row r="22">
          <cell r="A22" t="str">
            <v>bra</v>
          </cell>
          <cell r="BH22" t="str">
            <v>60.842</v>
          </cell>
        </row>
        <row r="23">
          <cell r="A23" t="str">
            <v>brb</v>
          </cell>
          <cell r="BH23" t="str">
            <v>67.654</v>
          </cell>
        </row>
        <row r="24">
          <cell r="A24" t="str">
            <v>brn</v>
          </cell>
          <cell r="BH24" t="str">
            <v>5.7609</v>
          </cell>
        </row>
        <row r="25">
          <cell r="A25" t="str">
            <v>btn</v>
          </cell>
          <cell r="BH25" t="str">
            <v>94.083</v>
          </cell>
        </row>
        <row r="26">
          <cell r="A26" t="str">
            <v>bwa</v>
          </cell>
          <cell r="BH26" t="str">
            <v>27.973</v>
          </cell>
        </row>
        <row r="27">
          <cell r="A27" t="str">
            <v>caf</v>
          </cell>
          <cell r="BH27" t="str">
            <v>0.55172</v>
          </cell>
        </row>
        <row r="28">
          <cell r="A28" t="str">
            <v>can</v>
          </cell>
          <cell r="BH28" t="str">
            <v>10.694</v>
          </cell>
        </row>
        <row r="29">
          <cell r="A29" t="str">
            <v>che</v>
          </cell>
          <cell r="BH29" t="str">
            <v>9.2394</v>
          </cell>
        </row>
        <row r="30">
          <cell r="A30" t="str">
            <v>chl</v>
          </cell>
          <cell r="BH30" t="str">
            <v>90.887</v>
          </cell>
        </row>
        <row r="31">
          <cell r="A31" t="str">
            <v>chn</v>
          </cell>
          <cell r="BH31" t="str">
            <v>62.145</v>
          </cell>
        </row>
        <row r="32">
          <cell r="A32" t="str">
            <v>civ</v>
          </cell>
          <cell r="BH32" t="str">
            <v>51.635</v>
          </cell>
        </row>
        <row r="33">
          <cell r="A33" t="str">
            <v>cmr</v>
          </cell>
          <cell r="BH33" t="str">
            <v>67.714</v>
          </cell>
        </row>
        <row r="34">
          <cell r="A34" t="str">
            <v>cod</v>
          </cell>
          <cell r="BH34" t="str">
            <v>10.518</v>
          </cell>
        </row>
        <row r="35">
          <cell r="A35" t="str">
            <v>cog</v>
          </cell>
          <cell r="BH35" t="str">
            <v>4.3621</v>
          </cell>
        </row>
        <row r="36">
          <cell r="A36" t="str">
            <v>col</v>
          </cell>
          <cell r="BH36" t="str">
            <v>82.174</v>
          </cell>
        </row>
        <row r="37">
          <cell r="A37" t="str">
            <v>com</v>
          </cell>
          <cell r="BH37" t="str">
            <v>47</v>
          </cell>
        </row>
        <row r="38">
          <cell r="A38" t="str">
            <v>cpv</v>
          </cell>
          <cell r="BH38" t="str">
            <v>38.99</v>
          </cell>
        </row>
        <row r="39">
          <cell r="A39" t="str">
            <v>cri</v>
          </cell>
          <cell r="BH39" t="str">
            <v>60.719</v>
          </cell>
        </row>
        <row r="40">
          <cell r="A40" t="str">
            <v>cub</v>
          </cell>
          <cell r="BH40" t="str">
            <v>64.937</v>
          </cell>
        </row>
        <row r="41">
          <cell r="A41" t="str">
            <v>cyp</v>
          </cell>
          <cell r="BH41" t="str">
            <v>61.246</v>
          </cell>
        </row>
        <row r="42">
          <cell r="A42" t="str">
            <v>cze</v>
          </cell>
          <cell r="BH42" t="str">
            <v>3.0429</v>
          </cell>
        </row>
        <row r="43">
          <cell r="A43" t="str">
            <v>deu</v>
          </cell>
          <cell r="BH43" t="str">
            <v>4.1666</v>
          </cell>
        </row>
        <row r="44">
          <cell r="A44" t="str">
            <v>dji</v>
          </cell>
          <cell r="BH44" t="str">
            <v>15.789</v>
          </cell>
        </row>
        <row r="45">
          <cell r="A45" t="str">
            <v>dma</v>
          </cell>
          <cell r="BH45" t="str">
            <v>5</v>
          </cell>
        </row>
        <row r="46">
          <cell r="A46" t="str">
            <v>dnk</v>
          </cell>
          <cell r="BH46" t="str">
            <v>54.207</v>
          </cell>
        </row>
        <row r="47">
          <cell r="A47" t="str">
            <v>dom</v>
          </cell>
          <cell r="BH47" t="str">
            <v>83.312</v>
          </cell>
        </row>
        <row r="48">
          <cell r="A48" t="str">
            <v>dza</v>
          </cell>
          <cell r="BH48" t="str">
            <v>67.43</v>
          </cell>
        </row>
        <row r="49">
          <cell r="A49" t="str">
            <v>ecu</v>
          </cell>
          <cell r="BH49" t="str">
            <v>81.428</v>
          </cell>
        </row>
        <row r="50">
          <cell r="A50" t="str">
            <v>egy</v>
          </cell>
          <cell r="BH50" t="str">
            <v>79.161</v>
          </cell>
        </row>
        <row r="51">
          <cell r="A51" t="str">
            <v>eri</v>
          </cell>
          <cell r="BH51" t="str">
            <v>94.502</v>
          </cell>
        </row>
        <row r="52">
          <cell r="A52" t="str">
            <v>esp</v>
          </cell>
          <cell r="BH52" t="str">
            <v>65.334</v>
          </cell>
        </row>
        <row r="53">
          <cell r="A53" t="str">
            <v>est</v>
          </cell>
          <cell r="BH53" t="str">
            <v>0.41478</v>
          </cell>
        </row>
        <row r="54">
          <cell r="A54" t="str">
            <v>eth</v>
          </cell>
          <cell r="BH54" t="str">
            <v>91.836</v>
          </cell>
        </row>
        <row r="55">
          <cell r="A55" t="str">
            <v>fin</v>
          </cell>
          <cell r="BH55" t="str">
            <v>35.726</v>
          </cell>
        </row>
        <row r="56">
          <cell r="A56" t="str">
            <v>fji</v>
          </cell>
          <cell r="BH56" t="str">
            <v>58.893</v>
          </cell>
        </row>
        <row r="57">
          <cell r="A57" t="str">
            <v>fra</v>
          </cell>
          <cell r="BH57" t="str">
            <v>10.296</v>
          </cell>
        </row>
        <row r="58">
          <cell r="A58" t="str">
            <v>gab</v>
          </cell>
          <cell r="BH58" t="str">
            <v>28.972</v>
          </cell>
        </row>
        <row r="59">
          <cell r="A59" t="str">
            <v>gbr</v>
          </cell>
          <cell r="BH59" t="str">
            <v>14.05</v>
          </cell>
        </row>
        <row r="60">
          <cell r="A60" t="str">
            <v>geo</v>
          </cell>
          <cell r="BH60" t="str">
            <v>33.552</v>
          </cell>
        </row>
        <row r="61">
          <cell r="A61" t="str">
            <v>gha</v>
          </cell>
          <cell r="BH61" t="str">
            <v>73.057</v>
          </cell>
        </row>
        <row r="62">
          <cell r="A62" t="str">
            <v>gin</v>
          </cell>
          <cell r="BH62" t="str">
            <v>67.416</v>
          </cell>
        </row>
        <row r="63">
          <cell r="A63" t="str">
            <v>gmb</v>
          </cell>
          <cell r="BH63" t="str">
            <v>38.583</v>
          </cell>
        </row>
        <row r="64">
          <cell r="A64" t="str">
            <v>gnb</v>
          </cell>
          <cell r="BH64" t="str">
            <v>75.789</v>
          </cell>
        </row>
        <row r="65">
          <cell r="A65" t="str">
            <v>gnq</v>
          </cell>
          <cell r="BH65" t="str">
            <v>5.0505</v>
          </cell>
        </row>
        <row r="66">
          <cell r="A66" t="str">
            <v>grc</v>
          </cell>
          <cell r="BH66" t="str">
            <v>80.474</v>
          </cell>
        </row>
        <row r="67">
          <cell r="A67" t="str">
            <v>grd</v>
          </cell>
          <cell r="BH67" t="str">
            <v>14.894</v>
          </cell>
        </row>
        <row r="68">
          <cell r="A68" t="str">
            <v>gtm</v>
          </cell>
          <cell r="BH68" t="str">
            <v>56.737</v>
          </cell>
        </row>
        <row r="69">
          <cell r="A69" t="str">
            <v>guy</v>
          </cell>
          <cell r="BH69" t="str">
            <v>94.345</v>
          </cell>
        </row>
        <row r="70">
          <cell r="A70" t="str">
            <v>hnd</v>
          </cell>
          <cell r="BH70" t="str">
            <v>73.304</v>
          </cell>
        </row>
        <row r="71">
          <cell r="A71" t="str">
            <v>hrv</v>
          </cell>
          <cell r="BH71" t="str">
            <v>7.4803</v>
          </cell>
        </row>
        <row r="72">
          <cell r="A72" t="str">
            <v>hti</v>
          </cell>
          <cell r="BH72" t="str">
            <v>83.379</v>
          </cell>
        </row>
        <row r="73">
          <cell r="A73" t="str">
            <v>hun</v>
          </cell>
          <cell r="BH73" t="str">
            <v>11.047</v>
          </cell>
        </row>
        <row r="74">
          <cell r="A74" t="str">
            <v>idn</v>
          </cell>
          <cell r="BH74" t="str">
            <v>85.207</v>
          </cell>
        </row>
        <row r="75">
          <cell r="A75" t="str">
            <v>ind</v>
          </cell>
          <cell r="BH75" t="str">
            <v>90.407</v>
          </cell>
        </row>
        <row r="76">
          <cell r="A76" t="str">
            <v>irl</v>
          </cell>
          <cell r="BH76" t="str">
            <v>2.3688</v>
          </cell>
        </row>
        <row r="77">
          <cell r="A77" t="str">
            <v>irn</v>
          </cell>
          <cell r="BH77" t="str">
            <v>92.176</v>
          </cell>
        </row>
        <row r="78">
          <cell r="A78" t="str">
            <v>irq</v>
          </cell>
          <cell r="BH78" t="str">
            <v>73.47</v>
          </cell>
        </row>
        <row r="79">
          <cell r="A79" t="str">
            <v>isl</v>
          </cell>
          <cell r="BH79" t="str">
            <v>0.1078</v>
          </cell>
        </row>
        <row r="80">
          <cell r="A80" t="str">
            <v>isr</v>
          </cell>
          <cell r="BH80" t="str">
            <v>46.626</v>
          </cell>
        </row>
        <row r="81">
          <cell r="A81" t="str">
            <v>ita</v>
          </cell>
          <cell r="BH81" t="str">
            <v>50.225</v>
          </cell>
        </row>
        <row r="82">
          <cell r="A82" t="str">
            <v>jam</v>
          </cell>
          <cell r="BH82" t="str">
            <v>17.063</v>
          </cell>
        </row>
        <row r="83">
          <cell r="A83" t="str">
            <v>jor</v>
          </cell>
          <cell r="BH83" t="str">
            <v>51.645</v>
          </cell>
        </row>
        <row r="84">
          <cell r="A84" t="str">
            <v>jpn</v>
          </cell>
          <cell r="BH84" t="str">
            <v>66.667</v>
          </cell>
        </row>
        <row r="85">
          <cell r="A85" t="str">
            <v>kaz</v>
          </cell>
          <cell r="BH85" t="str">
            <v>56.747</v>
          </cell>
        </row>
        <row r="86">
          <cell r="A86" t="str">
            <v>ken</v>
          </cell>
          <cell r="BH86" t="str">
            <v>80.208</v>
          </cell>
        </row>
        <row r="87">
          <cell r="A87" t="str">
            <v>kgz</v>
          </cell>
          <cell r="BH87" t="str">
            <v>92.689</v>
          </cell>
        </row>
        <row r="88">
          <cell r="A88" t="str">
            <v>khm</v>
          </cell>
          <cell r="BH88" t="str">
            <v>94.002</v>
          </cell>
        </row>
        <row r="89">
          <cell r="A89" t="str">
            <v>kna</v>
          </cell>
          <cell r="BH89" t="str">
            <v>1.2821</v>
          </cell>
        </row>
        <row r="90">
          <cell r="A90" t="str">
            <v>kor</v>
          </cell>
          <cell r="BH90" t="str">
            <v>58.932</v>
          </cell>
        </row>
        <row r="91">
          <cell r="A91" t="str">
            <v>kwt</v>
          </cell>
          <cell r="BH91" t="str">
            <v>62.272</v>
          </cell>
        </row>
        <row r="92">
          <cell r="A92" t="str">
            <v>lao</v>
          </cell>
          <cell r="BH92" t="str">
            <v>95.918</v>
          </cell>
        </row>
        <row r="93">
          <cell r="A93" t="str">
            <v>lbn</v>
          </cell>
          <cell r="BH93" t="str">
            <v>38.043</v>
          </cell>
        </row>
        <row r="94">
          <cell r="A94" t="str">
            <v>lbr</v>
          </cell>
          <cell r="BH94" t="str">
            <v>8.4304</v>
          </cell>
        </row>
        <row r="95">
          <cell r="A95" t="str">
            <v>lby</v>
          </cell>
          <cell r="BH95" t="str">
            <v>83.19</v>
          </cell>
        </row>
        <row r="96">
          <cell r="A96" t="str">
            <v>lca</v>
          </cell>
          <cell r="BH96" t="str">
            <v>70.862</v>
          </cell>
        </row>
        <row r="97">
          <cell r="A97" t="str">
            <v>lka</v>
          </cell>
          <cell r="BH97" t="str">
            <v>87.363</v>
          </cell>
        </row>
        <row r="98">
          <cell r="A98" t="str">
            <v>lso</v>
          </cell>
          <cell r="BH98" t="str">
            <v>8.6758</v>
          </cell>
        </row>
        <row r="99">
          <cell r="A99" t="str">
            <v>ltu</v>
          </cell>
          <cell r="BH99" t="str">
            <v>19.557</v>
          </cell>
        </row>
        <row r="100">
          <cell r="A100" t="str">
            <v>lux</v>
          </cell>
          <cell r="BH100" t="str">
            <v>1.0264</v>
          </cell>
        </row>
        <row r="101">
          <cell r="A101" t="str">
            <v>lva</v>
          </cell>
          <cell r="BH101" t="str">
            <v>29.07</v>
          </cell>
        </row>
        <row r="102">
          <cell r="A102" t="str">
            <v>mar</v>
          </cell>
          <cell r="BH102" t="str">
            <v>87.777</v>
          </cell>
        </row>
        <row r="103">
          <cell r="A103" t="str">
            <v>mco</v>
          </cell>
        </row>
        <row r="104">
          <cell r="A104" t="str">
            <v>mda</v>
          </cell>
          <cell r="BH104" t="str">
            <v>6.8922</v>
          </cell>
        </row>
        <row r="105">
          <cell r="A105" t="str">
            <v>mdg</v>
          </cell>
          <cell r="BH105" t="str">
            <v>95.892</v>
          </cell>
        </row>
        <row r="106">
          <cell r="A106" t="str">
            <v>mdv</v>
          </cell>
          <cell r="BH106" t="str">
            <v>4.5457</v>
          </cell>
        </row>
        <row r="107">
          <cell r="A107" t="str">
            <v>mex</v>
          </cell>
          <cell r="BH107" t="str">
            <v>76.301</v>
          </cell>
        </row>
        <row r="108">
          <cell r="A108" t="str">
            <v>mkd</v>
          </cell>
          <cell r="BH108" t="str">
            <v>6.4011</v>
          </cell>
        </row>
        <row r="109">
          <cell r="A109" t="str">
            <v>mli</v>
          </cell>
          <cell r="BH109" t="str">
            <v>97.86</v>
          </cell>
        </row>
        <row r="110">
          <cell r="A110" t="str">
            <v>mlt</v>
          </cell>
          <cell r="BH110" t="str">
            <v>34.529</v>
          </cell>
        </row>
        <row r="111">
          <cell r="A111" t="str">
            <v>mmr</v>
          </cell>
          <cell r="BH111" t="str">
            <v>88.556</v>
          </cell>
        </row>
        <row r="112">
          <cell r="A112" t="str">
            <v>mne</v>
          </cell>
          <cell r="BH112" t="str">
            <v>0.30629</v>
          </cell>
        </row>
        <row r="113">
          <cell r="A113" t="str">
            <v>mng</v>
          </cell>
          <cell r="BH113" t="str">
            <v>54.26</v>
          </cell>
        </row>
        <row r="114">
          <cell r="A114" t="str">
            <v>moz</v>
          </cell>
          <cell r="BH114" t="str">
            <v>73.048</v>
          </cell>
        </row>
        <row r="115">
          <cell r="A115" t="str">
            <v>mrt</v>
          </cell>
          <cell r="BH115" t="str">
            <v>90.579</v>
          </cell>
        </row>
        <row r="116">
          <cell r="A116" t="str">
            <v>mus</v>
          </cell>
          <cell r="BH116" t="str">
            <v>47.867</v>
          </cell>
        </row>
        <row r="117">
          <cell r="A117" t="str">
            <v>mwi</v>
          </cell>
          <cell r="BH117" t="str">
            <v>85.938</v>
          </cell>
        </row>
        <row r="118">
          <cell r="A118" t="str">
            <v>mys</v>
          </cell>
          <cell r="BH118" t="str">
            <v>45.645</v>
          </cell>
        </row>
        <row r="119">
          <cell r="A119" t="str">
            <v>nam</v>
          </cell>
          <cell r="BH119" t="str">
            <v>71.485</v>
          </cell>
        </row>
        <row r="120">
          <cell r="A120" t="str">
            <v>ner</v>
          </cell>
          <cell r="BH120" t="str">
            <v>91.023</v>
          </cell>
        </row>
        <row r="121">
          <cell r="A121" t="str">
            <v>nga</v>
          </cell>
          <cell r="BH121" t="str">
            <v>44.168</v>
          </cell>
        </row>
        <row r="122">
          <cell r="A122" t="str">
            <v>nic</v>
          </cell>
          <cell r="BH122" t="str">
            <v>85.045</v>
          </cell>
        </row>
        <row r="123">
          <cell r="A123" t="str">
            <v>nld</v>
          </cell>
          <cell r="BH123" t="str">
            <v>3.2193</v>
          </cell>
        </row>
        <row r="124">
          <cell r="A124" t="str">
            <v>nor</v>
          </cell>
          <cell r="BH124" t="str">
            <v>31.417</v>
          </cell>
        </row>
        <row r="125">
          <cell r="A125" t="str">
            <v>npl</v>
          </cell>
          <cell r="BH125" t="str">
            <v>98.135</v>
          </cell>
        </row>
        <row r="126">
          <cell r="A126" t="str">
            <v>nzl</v>
          </cell>
          <cell r="BH126" t="str">
            <v>64.945</v>
          </cell>
        </row>
        <row r="127">
          <cell r="A127" t="str">
            <v>omn</v>
          </cell>
          <cell r="BH127" t="str">
            <v>80.783</v>
          </cell>
        </row>
        <row r="128">
          <cell r="A128" t="str">
            <v>pak</v>
          </cell>
          <cell r="BH128" t="str">
            <v>93.977</v>
          </cell>
        </row>
        <row r="129">
          <cell r="A129" t="str">
            <v>pan</v>
          </cell>
          <cell r="BH129" t="str">
            <v>36.825</v>
          </cell>
        </row>
        <row r="130">
          <cell r="A130" t="str">
            <v>per</v>
          </cell>
          <cell r="BH130" t="str">
            <v>81.454</v>
          </cell>
        </row>
        <row r="131">
          <cell r="A131" t="str">
            <v>phl</v>
          </cell>
          <cell r="BH131" t="str">
            <v>74.626</v>
          </cell>
        </row>
        <row r="132">
          <cell r="A132" t="str">
            <v>png</v>
          </cell>
          <cell r="BH132" t="str">
            <v>0.25504</v>
          </cell>
        </row>
        <row r="133">
          <cell r="A133" t="str">
            <v>pol</v>
          </cell>
          <cell r="BH133" t="str">
            <v>13.019</v>
          </cell>
        </row>
        <row r="134">
          <cell r="A134" t="str">
            <v>prk</v>
          </cell>
          <cell r="BH134" t="str">
            <v>76.347</v>
          </cell>
        </row>
        <row r="135">
          <cell r="A135" t="str">
            <v>prt</v>
          </cell>
          <cell r="BH135" t="str">
            <v>55.429</v>
          </cell>
        </row>
        <row r="136">
          <cell r="A136" t="str">
            <v>pry</v>
          </cell>
          <cell r="BH136" t="str">
            <v>78.616</v>
          </cell>
        </row>
        <row r="137">
          <cell r="A137" t="str">
            <v>pse</v>
          </cell>
          <cell r="BH137" t="str">
            <v>35.426</v>
          </cell>
        </row>
        <row r="138">
          <cell r="A138" t="str">
            <v>qat</v>
          </cell>
          <cell r="BH138" t="str">
            <v>33.307</v>
          </cell>
        </row>
        <row r="139">
          <cell r="A139" t="str">
            <v>rou</v>
          </cell>
          <cell r="BH139" t="str">
            <v>36.253</v>
          </cell>
        </row>
        <row r="140">
          <cell r="A140" t="str">
            <v>rus</v>
          </cell>
          <cell r="BH140" t="str">
            <v>28.757</v>
          </cell>
        </row>
        <row r="141">
          <cell r="A141" t="str">
            <v>rwa</v>
          </cell>
          <cell r="BH141" t="str">
            <v>60.067</v>
          </cell>
        </row>
        <row r="142">
          <cell r="A142" t="str">
            <v>sau</v>
          </cell>
          <cell r="BH142" t="str">
            <v>81.564</v>
          </cell>
        </row>
        <row r="143">
          <cell r="A143" t="str">
            <v>sdn</v>
          </cell>
          <cell r="BH143" t="str">
            <v>96.195</v>
          </cell>
        </row>
        <row r="144">
          <cell r="A144" t="str">
            <v>sen</v>
          </cell>
          <cell r="BH144" t="str">
            <v>91.314</v>
          </cell>
        </row>
        <row r="145">
          <cell r="A145" t="str">
            <v>sgp</v>
          </cell>
        </row>
        <row r="146">
          <cell r="A146" t="str">
            <v>sle</v>
          </cell>
          <cell r="BH146" t="str">
            <v>21.536</v>
          </cell>
        </row>
        <row r="147">
          <cell r="A147" t="str">
            <v>slv</v>
          </cell>
          <cell r="BH147" t="str">
            <v>72.786</v>
          </cell>
        </row>
        <row r="148">
          <cell r="A148" t="str">
            <v>som</v>
          </cell>
          <cell r="BH148" t="str">
            <v>99.485</v>
          </cell>
        </row>
        <row r="149">
          <cell r="A149" t="str">
            <v>srb</v>
          </cell>
          <cell r="BH149" t="str">
            <v>8.2891</v>
          </cell>
        </row>
        <row r="150">
          <cell r="A150" t="str">
            <v>ssd</v>
          </cell>
          <cell r="BH150" t="str">
            <v>36.474</v>
          </cell>
        </row>
        <row r="151">
          <cell r="A151" t="str">
            <v>stp</v>
          </cell>
          <cell r="BH151" t="str">
            <v>62.592</v>
          </cell>
        </row>
        <row r="152">
          <cell r="A152" t="str">
            <v>sur</v>
          </cell>
          <cell r="BH152" t="str">
            <v>69.995</v>
          </cell>
        </row>
        <row r="153">
          <cell r="A153" t="str">
            <v>svk</v>
          </cell>
          <cell r="BH153" t="str">
            <v>5.8285</v>
          </cell>
        </row>
        <row r="154">
          <cell r="A154" t="str">
            <v>svn</v>
          </cell>
          <cell r="BH154" t="str">
            <v>0.41112</v>
          </cell>
        </row>
        <row r="155">
          <cell r="A155" t="str">
            <v>swe</v>
          </cell>
          <cell r="BH155" t="str">
            <v>4.9323</v>
          </cell>
        </row>
        <row r="156">
          <cell r="A156" t="str">
            <v>swz</v>
          </cell>
          <cell r="BH156" t="str">
            <v>94.195</v>
          </cell>
        </row>
        <row r="157">
          <cell r="A157" t="str">
            <v>syc</v>
          </cell>
          <cell r="BH157" t="str">
            <v>6.5693</v>
          </cell>
        </row>
        <row r="158">
          <cell r="A158" t="str">
            <v>syr</v>
          </cell>
          <cell r="BH158" t="str">
            <v>87.528</v>
          </cell>
        </row>
        <row r="159">
          <cell r="A159" t="str">
            <v>tcd</v>
          </cell>
          <cell r="BH159" t="str">
            <v>76.421</v>
          </cell>
        </row>
        <row r="160">
          <cell r="A160" t="str">
            <v>tgo</v>
          </cell>
          <cell r="BH160" t="str">
            <v>34.081</v>
          </cell>
        </row>
        <row r="161">
          <cell r="A161" t="str">
            <v>tha</v>
          </cell>
          <cell r="BH161" t="str">
            <v>90.374</v>
          </cell>
        </row>
        <row r="162">
          <cell r="A162" t="str">
            <v>tjk</v>
          </cell>
          <cell r="BH162" t="str">
            <v>74.525</v>
          </cell>
        </row>
        <row r="163">
          <cell r="A163" t="str">
            <v>tkm</v>
          </cell>
          <cell r="BH163" t="str">
            <v>92.749</v>
          </cell>
        </row>
        <row r="164">
          <cell r="A164" t="str">
            <v>tls</v>
          </cell>
          <cell r="BH164" t="str">
            <v>91.382</v>
          </cell>
        </row>
        <row r="165">
          <cell r="A165" t="str">
            <v>tto</v>
          </cell>
          <cell r="BH165" t="str">
            <v>4.358</v>
          </cell>
        </row>
        <row r="166">
          <cell r="A166" t="str">
            <v>tun</v>
          </cell>
          <cell r="BH166" t="str">
            <v>75.542</v>
          </cell>
        </row>
        <row r="167">
          <cell r="A167" t="str">
            <v>tur</v>
          </cell>
          <cell r="BH167" t="str">
            <v>86.927</v>
          </cell>
        </row>
        <row r="168">
          <cell r="A168" t="str">
            <v>tza</v>
          </cell>
          <cell r="BH168" t="str">
            <v>89.352</v>
          </cell>
        </row>
        <row r="169">
          <cell r="A169" t="str">
            <v>uga</v>
          </cell>
          <cell r="BH169" t="str">
            <v>40.659</v>
          </cell>
        </row>
        <row r="170">
          <cell r="A170" t="str">
            <v>ukr</v>
          </cell>
          <cell r="BH170" t="str">
            <v>21.132</v>
          </cell>
        </row>
        <row r="171">
          <cell r="A171" t="str">
            <v>ury</v>
          </cell>
          <cell r="BH171" t="str">
            <v>77.19</v>
          </cell>
        </row>
        <row r="172">
          <cell r="A172" t="str">
            <v>usa</v>
          </cell>
          <cell r="BH172" t="str">
            <v>39.659</v>
          </cell>
        </row>
        <row r="173">
          <cell r="A173" t="str">
            <v>uzb</v>
          </cell>
          <cell r="BH173" t="str">
            <v>92.135</v>
          </cell>
        </row>
        <row r="174">
          <cell r="A174" t="str">
            <v>vct</v>
          </cell>
        </row>
        <row r="175">
          <cell r="A175" t="str">
            <v>ven</v>
          </cell>
          <cell r="BH175" t="str">
            <v>73.852</v>
          </cell>
        </row>
        <row r="176">
          <cell r="A176" t="str">
            <v>vnm</v>
          </cell>
          <cell r="BH176" t="str">
            <v>94.782</v>
          </cell>
        </row>
        <row r="177">
          <cell r="A177" t="str">
            <v>yem</v>
          </cell>
          <cell r="BH177" t="str">
            <v>90.743</v>
          </cell>
        </row>
        <row r="178">
          <cell r="A178" t="str">
            <v>zaf</v>
          </cell>
          <cell r="BH178" t="str">
            <v>59.4</v>
          </cell>
        </row>
        <row r="179">
          <cell r="A179" t="str">
            <v>zmb</v>
          </cell>
          <cell r="BH179" t="str">
            <v>73.282</v>
          </cell>
        </row>
        <row r="180">
          <cell r="A180" t="str">
            <v>zwe</v>
          </cell>
          <cell r="BH180" t="str">
            <v>87.2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_water_withdrawal_billion_"/>
    </sheetNames>
    <sheetDataSet>
      <sheetData sheetId="0">
        <row r="2">
          <cell r="A2" t="str">
            <v>afg</v>
          </cell>
          <cell r="BK2" t="str">
            <v>20.373</v>
          </cell>
        </row>
        <row r="3">
          <cell r="A3" t="str">
            <v>ago</v>
          </cell>
          <cell r="BK3" t="str">
            <v>0.7058</v>
          </cell>
        </row>
        <row r="4">
          <cell r="A4" t="str">
            <v>alb</v>
          </cell>
          <cell r="BK4" t="str">
            <v>0.797</v>
          </cell>
        </row>
        <row r="5">
          <cell r="A5" t="str">
            <v>are</v>
          </cell>
          <cell r="BK5" t="str">
            <v>4.8177</v>
          </cell>
        </row>
        <row r="6">
          <cell r="A6" t="str">
            <v>arg</v>
          </cell>
          <cell r="BK6" t="str">
            <v>37.78</v>
          </cell>
        </row>
        <row r="7">
          <cell r="A7" t="str">
            <v>arm</v>
          </cell>
          <cell r="BK7" t="str">
            <v>3.072</v>
          </cell>
        </row>
        <row r="8">
          <cell r="A8" t="str">
            <v>atg</v>
          </cell>
          <cell r="BK8" t="str">
            <v>0.0115</v>
          </cell>
        </row>
        <row r="9">
          <cell r="A9" t="str">
            <v>aus</v>
          </cell>
          <cell r="BK9" t="str">
            <v>16.73</v>
          </cell>
        </row>
        <row r="10">
          <cell r="A10" t="str">
            <v>aut</v>
          </cell>
          <cell r="BK10" t="str">
            <v>2.3684</v>
          </cell>
        </row>
        <row r="11">
          <cell r="A11" t="str">
            <v>aze</v>
          </cell>
          <cell r="BK11" t="str">
            <v>12.968</v>
          </cell>
        </row>
        <row r="12">
          <cell r="A12" t="str">
            <v>bdi</v>
          </cell>
          <cell r="BK12" t="str">
            <v>0.2801</v>
          </cell>
        </row>
        <row r="13">
          <cell r="A13" t="str">
            <v>bel</v>
          </cell>
          <cell r="BK13" t="str">
            <v>4.9221</v>
          </cell>
        </row>
        <row r="14">
          <cell r="A14" t="str">
            <v>ben</v>
          </cell>
          <cell r="BK14" t="str">
            <v>0.234</v>
          </cell>
        </row>
        <row r="15">
          <cell r="A15" t="str">
            <v>bfa</v>
          </cell>
          <cell r="BK15" t="str">
            <v>0.818</v>
          </cell>
        </row>
        <row r="16">
          <cell r="A16" t="str">
            <v>bgd</v>
          </cell>
          <cell r="BK16" t="str">
            <v>35.87</v>
          </cell>
        </row>
        <row r="17">
          <cell r="A17" t="str">
            <v>bgr</v>
          </cell>
          <cell r="BK17" t="str">
            <v>5.4434</v>
          </cell>
        </row>
        <row r="18">
          <cell r="A18" t="str">
            <v>bhr</v>
          </cell>
          <cell r="BK18" t="str">
            <v>0.4344</v>
          </cell>
        </row>
        <row r="19">
          <cell r="A19" t="str">
            <v>blr</v>
          </cell>
          <cell r="BK19" t="str">
            <v>1.414</v>
          </cell>
        </row>
        <row r="20">
          <cell r="A20" t="str">
            <v>blz</v>
          </cell>
          <cell r="BK20" t="str">
            <v>0.101</v>
          </cell>
        </row>
        <row r="21">
          <cell r="A21" t="str">
            <v>bol</v>
          </cell>
          <cell r="BK21" t="str">
            <v>2.2049</v>
          </cell>
        </row>
        <row r="22">
          <cell r="A22" t="str">
            <v>bra</v>
          </cell>
          <cell r="BK22" t="str">
            <v>67.94</v>
          </cell>
        </row>
        <row r="23">
          <cell r="A23" t="str">
            <v>brb</v>
          </cell>
          <cell r="BK23" t="str">
            <v>0.081</v>
          </cell>
        </row>
        <row r="24">
          <cell r="A24" t="str">
            <v>brn</v>
          </cell>
          <cell r="BK24" t="str">
            <v>0.092</v>
          </cell>
        </row>
        <row r="25">
          <cell r="A25" t="str">
            <v>btn</v>
          </cell>
          <cell r="BK25" t="str">
            <v>0.338</v>
          </cell>
        </row>
        <row r="26">
          <cell r="A26" t="str">
            <v>bwa</v>
          </cell>
          <cell r="BK26" t="str">
            <v>0.21328</v>
          </cell>
        </row>
        <row r="27">
          <cell r="A27" t="str">
            <v>caf</v>
          </cell>
          <cell r="BK27" t="str">
            <v>0.0725</v>
          </cell>
        </row>
        <row r="28">
          <cell r="A28" t="str">
            <v>can</v>
          </cell>
          <cell r="BK28" t="str">
            <v>36.085</v>
          </cell>
        </row>
        <row r="29">
          <cell r="A29" t="str">
            <v>che</v>
          </cell>
          <cell r="BK29" t="str">
            <v>1.7328</v>
          </cell>
        </row>
        <row r="30">
          <cell r="A30" t="str">
            <v>chl</v>
          </cell>
          <cell r="BK30" t="str">
            <v>32.37</v>
          </cell>
        </row>
        <row r="31">
          <cell r="A31" t="str">
            <v>chn</v>
          </cell>
          <cell r="BK31" t="str">
            <v>581.29</v>
          </cell>
        </row>
        <row r="32">
          <cell r="A32" t="str">
            <v>civ</v>
          </cell>
          <cell r="BK32" t="str">
            <v>1.162</v>
          </cell>
        </row>
        <row r="33">
          <cell r="A33" t="str">
            <v>cmr</v>
          </cell>
          <cell r="BK33" t="str">
            <v>1.0884</v>
          </cell>
        </row>
        <row r="34">
          <cell r="A34" t="str">
            <v>cod</v>
          </cell>
          <cell r="BK34" t="str">
            <v>0.6836</v>
          </cell>
        </row>
        <row r="35">
          <cell r="A35" t="str">
            <v>cog</v>
          </cell>
          <cell r="BK35" t="str">
            <v>0.0917</v>
          </cell>
        </row>
        <row r="36">
          <cell r="A36" t="str">
            <v>col</v>
          </cell>
          <cell r="BK36" t="str">
            <v>24.898</v>
          </cell>
        </row>
        <row r="37">
          <cell r="A37" t="str">
            <v>com</v>
          </cell>
          <cell r="BK37" t="str">
            <v>0.01</v>
          </cell>
        </row>
        <row r="38">
          <cell r="A38" t="str">
            <v>cpv</v>
          </cell>
          <cell r="BK38" t="str">
            <v>0.26473</v>
          </cell>
        </row>
        <row r="39">
          <cell r="A39" t="str">
            <v>cri</v>
          </cell>
          <cell r="BK39" t="str">
            <v>3.4468</v>
          </cell>
        </row>
        <row r="40">
          <cell r="A40" t="str">
            <v>cub</v>
          </cell>
          <cell r="BK40" t="str">
            <v>6.959</v>
          </cell>
        </row>
        <row r="41">
          <cell r="A41" t="str">
            <v>cyp</v>
          </cell>
          <cell r="BK41" t="str">
            <v>0.289</v>
          </cell>
        </row>
        <row r="42">
          <cell r="A42" t="str">
            <v>cze</v>
          </cell>
          <cell r="BK42" t="str">
            <v>1.446</v>
          </cell>
        </row>
        <row r="43">
          <cell r="A43" t="str">
            <v>deu</v>
          </cell>
          <cell r="BK43" t="str">
            <v>25.793</v>
          </cell>
        </row>
        <row r="44">
          <cell r="A44" t="str">
            <v>dji</v>
          </cell>
          <cell r="BK44" t="str">
            <v>0.019</v>
          </cell>
        </row>
        <row r="45">
          <cell r="A45" t="str">
            <v>dma</v>
          </cell>
          <cell r="BK45" t="str">
            <v>0.02</v>
          </cell>
        </row>
        <row r="46">
          <cell r="A46" t="str">
            <v>dnk</v>
          </cell>
          <cell r="BK46" t="str">
            <v>0.93435</v>
          </cell>
        </row>
        <row r="47">
          <cell r="A47" t="str">
            <v>dom</v>
          </cell>
          <cell r="BK47" t="str">
            <v>9.0779</v>
          </cell>
        </row>
        <row r="48">
          <cell r="A48" t="str">
            <v>dza</v>
          </cell>
          <cell r="BK48" t="str">
            <v>10.961</v>
          </cell>
        </row>
        <row r="49">
          <cell r="A49" t="str">
            <v>ecu</v>
          </cell>
          <cell r="BK49" t="str">
            <v>9.918</v>
          </cell>
        </row>
        <row r="50">
          <cell r="A50" t="str">
            <v>egy</v>
          </cell>
          <cell r="BK50" t="str">
            <v>77.5</v>
          </cell>
        </row>
        <row r="51">
          <cell r="A51" t="str">
            <v>eri</v>
          </cell>
          <cell r="BK51" t="str">
            <v>0.582</v>
          </cell>
        </row>
        <row r="52">
          <cell r="A52" t="str">
            <v>esp</v>
          </cell>
          <cell r="BK52" t="str">
            <v>29.02</v>
          </cell>
        </row>
        <row r="53">
          <cell r="A53" t="str">
            <v>est</v>
          </cell>
          <cell r="BK53" t="str">
            <v>1.2055</v>
          </cell>
        </row>
        <row r="54">
          <cell r="A54" t="str">
            <v>eth</v>
          </cell>
          <cell r="BK54" t="str">
            <v>10.548</v>
          </cell>
        </row>
        <row r="55">
          <cell r="A55" t="str">
            <v>fin</v>
          </cell>
          <cell r="BK55" t="str">
            <v>2.7991</v>
          </cell>
        </row>
        <row r="56">
          <cell r="A56" t="str">
            <v>fji</v>
          </cell>
          <cell r="BK56" t="str">
            <v>0.0849</v>
          </cell>
        </row>
        <row r="57">
          <cell r="A57" t="str">
            <v>fra</v>
          </cell>
          <cell r="BK57" t="str">
            <v>24.428</v>
          </cell>
        </row>
        <row r="58">
          <cell r="A58" t="str">
            <v>gab</v>
          </cell>
          <cell r="BK58" t="str">
            <v>0.1391</v>
          </cell>
        </row>
        <row r="59">
          <cell r="A59" t="str">
            <v>gbr</v>
          </cell>
          <cell r="BK59" t="str">
            <v>8.42</v>
          </cell>
        </row>
        <row r="60">
          <cell r="A60" t="str">
            <v>geo</v>
          </cell>
          <cell r="BK60" t="str">
            <v>1.2934</v>
          </cell>
        </row>
        <row r="61">
          <cell r="A61" t="str">
            <v>gha</v>
          </cell>
          <cell r="BK61" t="str">
            <v>1.4646</v>
          </cell>
        </row>
        <row r="62">
          <cell r="A62" t="str">
            <v>gin</v>
          </cell>
          <cell r="BK62" t="str">
            <v>0.89</v>
          </cell>
        </row>
        <row r="63">
          <cell r="A63" t="str">
            <v>gmb</v>
          </cell>
          <cell r="BK63" t="str">
            <v>0.1016</v>
          </cell>
        </row>
        <row r="64">
          <cell r="A64" t="str">
            <v>gnb</v>
          </cell>
          <cell r="BK64" t="str">
            <v>0.19</v>
          </cell>
        </row>
        <row r="65">
          <cell r="A65" t="str">
            <v>gnq</v>
          </cell>
          <cell r="BK65" t="str">
            <v>0.0198</v>
          </cell>
        </row>
        <row r="66">
          <cell r="A66" t="str">
            <v>grc</v>
          </cell>
          <cell r="BK66" t="str">
            <v>10.074</v>
          </cell>
        </row>
        <row r="67">
          <cell r="A67" t="str">
            <v>grd</v>
          </cell>
          <cell r="BK67" t="str">
            <v>0.0141</v>
          </cell>
        </row>
        <row r="68">
          <cell r="A68" t="str">
            <v>gtm</v>
          </cell>
          <cell r="BK68" t="str">
            <v>3.3241</v>
          </cell>
        </row>
        <row r="69">
          <cell r="A69" t="str">
            <v>guy</v>
          </cell>
          <cell r="BK69" t="str">
            <v>1.4447</v>
          </cell>
        </row>
        <row r="70">
          <cell r="A70" t="str">
            <v>hnd</v>
          </cell>
          <cell r="BK70" t="str">
            <v>1.607</v>
          </cell>
        </row>
        <row r="71">
          <cell r="A71" t="str">
            <v>hrv</v>
          </cell>
          <cell r="BK71" t="str">
            <v>1.016</v>
          </cell>
        </row>
        <row r="72">
          <cell r="A72" t="str">
            <v>hti</v>
          </cell>
          <cell r="BK72" t="str">
            <v>1.45</v>
          </cell>
        </row>
        <row r="73">
          <cell r="A73" t="str">
            <v>hun</v>
          </cell>
          <cell r="BK73" t="str">
            <v>4.9663</v>
          </cell>
        </row>
        <row r="74">
          <cell r="A74" t="str">
            <v>idn</v>
          </cell>
          <cell r="BK74" t="str">
            <v>222.63</v>
          </cell>
        </row>
        <row r="75">
          <cell r="A75" t="str">
            <v>ind</v>
          </cell>
          <cell r="BK75" t="str">
            <v>761</v>
          </cell>
        </row>
        <row r="76">
          <cell r="A76" t="str">
            <v>irl</v>
          </cell>
          <cell r="BK76" t="str">
            <v>1.673</v>
          </cell>
        </row>
        <row r="77">
          <cell r="A77" t="str">
            <v>irn</v>
          </cell>
          <cell r="BK77" t="str">
            <v>93.3</v>
          </cell>
        </row>
        <row r="78">
          <cell r="A78" t="str">
            <v>irq</v>
          </cell>
          <cell r="BK78" t="str">
            <v>42.424</v>
          </cell>
        </row>
        <row r="79">
          <cell r="A79" t="str">
            <v>isl</v>
          </cell>
          <cell r="BK79" t="str">
            <v>0.2783</v>
          </cell>
        </row>
        <row r="80">
          <cell r="A80" t="str">
            <v>isr</v>
          </cell>
          <cell r="BK80" t="str">
            <v>2.605</v>
          </cell>
        </row>
        <row r="81">
          <cell r="A81" t="str">
            <v>ita</v>
          </cell>
          <cell r="BK81" t="str">
            <v>33.848</v>
          </cell>
        </row>
        <row r="82">
          <cell r="A82" t="str">
            <v>jam</v>
          </cell>
          <cell r="BK82" t="str">
            <v>0.46283</v>
          </cell>
        </row>
        <row r="83">
          <cell r="A83" t="str">
            <v>jor</v>
          </cell>
          <cell r="BK83" t="str">
            <v>1.1049</v>
          </cell>
        </row>
        <row r="84">
          <cell r="A84" t="str">
            <v>jpn</v>
          </cell>
          <cell r="BK84" t="str">
            <v>79.5</v>
          </cell>
        </row>
        <row r="85">
          <cell r="A85" t="str">
            <v>kaz</v>
          </cell>
          <cell r="BK85" t="str">
            <v>25.136</v>
          </cell>
        </row>
        <row r="86">
          <cell r="A86" t="str">
            <v>ken</v>
          </cell>
          <cell r="BK86" t="str">
            <v>4.032</v>
          </cell>
        </row>
        <row r="87">
          <cell r="A87" t="str">
            <v>kgz</v>
          </cell>
          <cell r="BK87" t="str">
            <v>7.66</v>
          </cell>
        </row>
        <row r="88">
          <cell r="A88" t="str">
            <v>khm</v>
          </cell>
          <cell r="BK88" t="str">
            <v>2.184</v>
          </cell>
        </row>
        <row r="89">
          <cell r="A89" t="str">
            <v>kna</v>
          </cell>
          <cell r="BK89" t="str">
            <v>0.0156</v>
          </cell>
        </row>
        <row r="90">
          <cell r="A90" t="str">
            <v>kor</v>
          </cell>
          <cell r="BK90" t="str">
            <v>27.082</v>
          </cell>
        </row>
        <row r="91">
          <cell r="A91" t="str">
            <v>kwt</v>
          </cell>
          <cell r="BK91" t="str">
            <v>1.25</v>
          </cell>
        </row>
        <row r="92">
          <cell r="A92" t="str">
            <v>lao</v>
          </cell>
          <cell r="BK92" t="str">
            <v>7.35</v>
          </cell>
        </row>
        <row r="93">
          <cell r="A93" t="str">
            <v>lbn</v>
          </cell>
          <cell r="BK93" t="str">
            <v>1.84</v>
          </cell>
        </row>
        <row r="94">
          <cell r="A94" t="str">
            <v>lbr</v>
          </cell>
          <cell r="BK94" t="str">
            <v>0.1459</v>
          </cell>
        </row>
        <row r="95">
          <cell r="A95" t="str">
            <v>lby</v>
          </cell>
          <cell r="BK95" t="str">
            <v>5.83</v>
          </cell>
        </row>
        <row r="96">
          <cell r="A96" t="str">
            <v>lca</v>
          </cell>
          <cell r="BK96" t="str">
            <v>0.0429</v>
          </cell>
        </row>
        <row r="97">
          <cell r="A97" t="str">
            <v>lka</v>
          </cell>
          <cell r="BK97" t="str">
            <v>12.946</v>
          </cell>
        </row>
        <row r="98">
          <cell r="A98" t="str">
            <v>lso</v>
          </cell>
          <cell r="BK98" t="str">
            <v>0.0438</v>
          </cell>
        </row>
        <row r="99">
          <cell r="A99" t="str">
            <v>ltu</v>
          </cell>
          <cell r="BK99" t="str">
            <v>0.30036</v>
          </cell>
        </row>
        <row r="100">
          <cell r="A100" t="str">
            <v>lux</v>
          </cell>
          <cell r="BK100" t="str">
            <v>0.04774</v>
          </cell>
        </row>
        <row r="101">
          <cell r="A101" t="str">
            <v>lva</v>
          </cell>
          <cell r="BK101" t="str">
            <v>0.17233</v>
          </cell>
        </row>
        <row r="102">
          <cell r="A102" t="str">
            <v>mar</v>
          </cell>
          <cell r="BK102" t="str">
            <v>10.431</v>
          </cell>
        </row>
        <row r="103">
          <cell r="A103" t="str">
            <v>mco</v>
          </cell>
          <cell r="BK103" t="str">
            <v>0.005</v>
          </cell>
        </row>
        <row r="104">
          <cell r="A104" t="str">
            <v>mda</v>
          </cell>
          <cell r="BK104" t="str">
            <v>0.798</v>
          </cell>
        </row>
        <row r="105">
          <cell r="A105" t="str">
            <v>mdg</v>
          </cell>
          <cell r="BK105" t="str">
            <v>13.557</v>
          </cell>
        </row>
        <row r="106">
          <cell r="A106" t="str">
            <v>mdv</v>
          </cell>
          <cell r="BK106" t="str">
            <v>0.0059</v>
          </cell>
        </row>
        <row r="107">
          <cell r="A107" t="str">
            <v>mex</v>
          </cell>
          <cell r="BK107" t="str">
            <v>89.806</v>
          </cell>
        </row>
        <row r="108">
          <cell r="A108" t="str">
            <v>mkd</v>
          </cell>
          <cell r="BK108" t="str">
            <v>2.1715</v>
          </cell>
        </row>
        <row r="109">
          <cell r="A109" t="str">
            <v>mli</v>
          </cell>
          <cell r="BK109" t="str">
            <v>5.186</v>
          </cell>
        </row>
        <row r="110">
          <cell r="A110" t="str">
            <v>mlt</v>
          </cell>
          <cell r="BK110" t="str">
            <v>0.06186</v>
          </cell>
        </row>
        <row r="111">
          <cell r="A111" t="str">
            <v>mmr</v>
          </cell>
          <cell r="BK111" t="str">
            <v>33.391</v>
          </cell>
        </row>
        <row r="112">
          <cell r="A112" t="str">
            <v>mne</v>
          </cell>
          <cell r="BK112" t="str">
            <v>2.207</v>
          </cell>
        </row>
        <row r="113">
          <cell r="A113" t="str">
            <v>mng</v>
          </cell>
          <cell r="BK113" t="str">
            <v>0.4624</v>
          </cell>
        </row>
        <row r="114">
          <cell r="A114" t="str">
            <v>moz</v>
          </cell>
          <cell r="BK114" t="str">
            <v>1.473</v>
          </cell>
        </row>
        <row r="115">
          <cell r="A115" t="str">
            <v>mrt</v>
          </cell>
          <cell r="BK115" t="str">
            <v>1.3502</v>
          </cell>
        </row>
        <row r="116">
          <cell r="A116" t="str">
            <v>mus</v>
          </cell>
          <cell r="BK116" t="str">
            <v>0.633</v>
          </cell>
        </row>
        <row r="117">
          <cell r="A117" t="str">
            <v>mwi</v>
          </cell>
          <cell r="BK117" t="str">
            <v>1.3568</v>
          </cell>
        </row>
        <row r="118">
          <cell r="A118" t="str">
            <v>mys</v>
          </cell>
          <cell r="BK118" t="str">
            <v>5.488</v>
          </cell>
        </row>
        <row r="119">
          <cell r="A119" t="str">
            <v>nam</v>
          </cell>
          <cell r="BK119" t="str">
            <v>0.28118</v>
          </cell>
        </row>
        <row r="120">
          <cell r="A120" t="str">
            <v>ner</v>
          </cell>
          <cell r="BK120" t="str">
            <v>2.5833</v>
          </cell>
        </row>
        <row r="121">
          <cell r="A121" t="str">
            <v>nga</v>
          </cell>
          <cell r="BK121" t="str">
            <v>12.475</v>
          </cell>
        </row>
        <row r="122">
          <cell r="A122" t="str">
            <v>nic</v>
          </cell>
          <cell r="BK122" t="str">
            <v>1.2746</v>
          </cell>
        </row>
        <row r="123">
          <cell r="A123" t="str">
            <v>nld</v>
          </cell>
          <cell r="BK123" t="str">
            <v>8.2343</v>
          </cell>
        </row>
        <row r="124">
          <cell r="A124" t="str">
            <v>nor</v>
          </cell>
          <cell r="BK124" t="str">
            <v>2.6893</v>
          </cell>
        </row>
        <row r="125">
          <cell r="A125" t="str">
            <v>npl</v>
          </cell>
          <cell r="BK125" t="str">
            <v>9.4971</v>
          </cell>
        </row>
        <row r="126">
          <cell r="A126" t="str">
            <v>nzl</v>
          </cell>
          <cell r="BK126" t="str">
            <v>4.938</v>
          </cell>
        </row>
        <row r="127">
          <cell r="A127" t="str">
            <v>omn</v>
          </cell>
          <cell r="BK127" t="str">
            <v>1.915</v>
          </cell>
        </row>
        <row r="128">
          <cell r="A128" t="str">
            <v>pak</v>
          </cell>
          <cell r="BK128" t="str">
            <v>183.45</v>
          </cell>
        </row>
        <row r="129">
          <cell r="A129" t="str">
            <v>pan</v>
          </cell>
          <cell r="BK129" t="str">
            <v>1.2114</v>
          </cell>
        </row>
        <row r="130">
          <cell r="A130" t="str">
            <v>per</v>
          </cell>
          <cell r="BK130" t="str">
            <v>25.919</v>
          </cell>
        </row>
        <row r="131">
          <cell r="A131" t="str">
            <v>phl</v>
          </cell>
          <cell r="BK131" t="str">
            <v>91.037</v>
          </cell>
        </row>
        <row r="132">
          <cell r="A132" t="str">
            <v>png</v>
          </cell>
          <cell r="BK132" t="str">
            <v>0.3921</v>
          </cell>
        </row>
        <row r="133">
          <cell r="A133" t="str">
            <v>pol</v>
          </cell>
          <cell r="BK133" t="str">
            <v>9.8332</v>
          </cell>
        </row>
        <row r="134">
          <cell r="A134" t="str">
            <v>prk</v>
          </cell>
          <cell r="BK134" t="str">
            <v>8.6578</v>
          </cell>
        </row>
        <row r="135">
          <cell r="A135" t="str">
            <v>prt</v>
          </cell>
          <cell r="BK135" t="str">
            <v>6.1692</v>
          </cell>
        </row>
        <row r="136">
          <cell r="A136" t="str">
            <v>pry</v>
          </cell>
          <cell r="BK136" t="str">
            <v>2.413</v>
          </cell>
        </row>
        <row r="137">
          <cell r="A137" t="str">
            <v>pse</v>
          </cell>
          <cell r="BK137" t="str">
            <v>0.446</v>
          </cell>
        </row>
        <row r="138">
          <cell r="A138" t="str">
            <v>qat</v>
          </cell>
          <cell r="BK138" t="str">
            <v>0.9342</v>
          </cell>
        </row>
        <row r="139">
          <cell r="A139" t="str">
            <v>rou</v>
          </cell>
          <cell r="BK139" t="str">
            <v>8.151</v>
          </cell>
        </row>
        <row r="140">
          <cell r="A140" t="str">
            <v>rus</v>
          </cell>
          <cell r="BK140" t="str">
            <v>64.82</v>
          </cell>
        </row>
        <row r="141">
          <cell r="A141" t="str">
            <v>rwa</v>
          </cell>
          <cell r="BK141" t="str">
            <v>0.601</v>
          </cell>
        </row>
        <row r="142">
          <cell r="A142" t="str">
            <v>sau</v>
          </cell>
          <cell r="BK142" t="str">
            <v>25.992</v>
          </cell>
        </row>
        <row r="143">
          <cell r="A143" t="str">
            <v>sdn</v>
          </cell>
          <cell r="BK143" t="str">
            <v>26.935</v>
          </cell>
        </row>
        <row r="144">
          <cell r="A144" t="str">
            <v>sen</v>
          </cell>
          <cell r="BK144" t="str">
            <v>3.0211</v>
          </cell>
        </row>
        <row r="145">
          <cell r="A145" t="str">
            <v>sgp</v>
          </cell>
          <cell r="BK145" t="str">
            <v>0.36083</v>
          </cell>
        </row>
        <row r="146">
          <cell r="A146" t="str">
            <v>sle</v>
          </cell>
          <cell r="BK146" t="str">
            <v>0.2122</v>
          </cell>
        </row>
        <row r="147">
          <cell r="A147" t="str">
            <v>slv</v>
          </cell>
          <cell r="BK147" t="str">
            <v>1.9385</v>
          </cell>
        </row>
        <row r="148">
          <cell r="A148" t="str">
            <v>som</v>
          </cell>
          <cell r="BK148" t="str">
            <v>3.298</v>
          </cell>
        </row>
        <row r="149">
          <cell r="A149" t="str">
            <v>srb</v>
          </cell>
          <cell r="BK149" t="str">
            <v>5.091</v>
          </cell>
        </row>
        <row r="150">
          <cell r="A150" t="str">
            <v>ssd</v>
          </cell>
          <cell r="BK150" t="str">
            <v>0.658</v>
          </cell>
        </row>
        <row r="151">
          <cell r="A151" t="str">
            <v>stp</v>
          </cell>
          <cell r="BK151" t="str">
            <v>0.0409</v>
          </cell>
        </row>
        <row r="152">
          <cell r="A152" t="str">
            <v>sur</v>
          </cell>
          <cell r="BK152" t="str">
            <v>0.6159</v>
          </cell>
        </row>
        <row r="153">
          <cell r="A153" t="str">
            <v>svk</v>
          </cell>
          <cell r="BK153" t="str">
            <v>0.56362</v>
          </cell>
        </row>
        <row r="154">
          <cell r="A154" t="str">
            <v>svn</v>
          </cell>
          <cell r="BK154" t="str">
            <v>0.827</v>
          </cell>
        </row>
        <row r="155">
          <cell r="A155" t="str">
            <v>swe</v>
          </cell>
          <cell r="BK155" t="str">
            <v>2.068</v>
          </cell>
        </row>
        <row r="156">
          <cell r="A156" t="str">
            <v>swz</v>
          </cell>
          <cell r="BK156" t="str">
            <v>1.068</v>
          </cell>
        </row>
        <row r="157">
          <cell r="A157" t="str">
            <v>syc</v>
          </cell>
          <cell r="BK157" t="str">
            <v>0.0137</v>
          </cell>
        </row>
        <row r="158">
          <cell r="A158" t="str">
            <v>syr</v>
          </cell>
          <cell r="BK158" t="str">
            <v>16.76</v>
          </cell>
        </row>
        <row r="159">
          <cell r="A159" t="str">
            <v>tcd</v>
          </cell>
          <cell r="BK159" t="str">
            <v>0.8796</v>
          </cell>
        </row>
        <row r="160">
          <cell r="A160" t="str">
            <v>tgo</v>
          </cell>
          <cell r="BK160" t="str">
            <v>0.223</v>
          </cell>
        </row>
        <row r="161">
          <cell r="A161" t="str">
            <v>tha</v>
          </cell>
          <cell r="BK161" t="str">
            <v>57.306</v>
          </cell>
        </row>
        <row r="162">
          <cell r="A162" t="str">
            <v>tjk</v>
          </cell>
          <cell r="BK162" t="str">
            <v>9.9</v>
          </cell>
        </row>
        <row r="163">
          <cell r="A163" t="str">
            <v>tkm</v>
          </cell>
          <cell r="BK163" t="str">
            <v>17.38</v>
          </cell>
        </row>
        <row r="164">
          <cell r="A164" t="str">
            <v>tls</v>
          </cell>
          <cell r="BK164" t="str">
            <v>1.172</v>
          </cell>
        </row>
        <row r="165">
          <cell r="A165" t="str">
            <v>tto</v>
          </cell>
          <cell r="BK165" t="str">
            <v>0.3832</v>
          </cell>
        </row>
        <row r="166">
          <cell r="A166" t="str">
            <v>tun</v>
          </cell>
          <cell r="BK166" t="str">
            <v>3.5874</v>
          </cell>
        </row>
        <row r="167">
          <cell r="A167" t="str">
            <v>tur</v>
          </cell>
          <cell r="BK167" t="str">
            <v>64.568</v>
          </cell>
        </row>
        <row r="168">
          <cell r="A168" t="str">
            <v>tza</v>
          </cell>
          <cell r="BK168" t="str">
            <v>5.184</v>
          </cell>
        </row>
        <row r="169">
          <cell r="A169" t="str">
            <v>uga</v>
          </cell>
          <cell r="BK169" t="str">
            <v>0.637</v>
          </cell>
        </row>
        <row r="170">
          <cell r="A170" t="str">
            <v>ukr</v>
          </cell>
          <cell r="BK170" t="str">
            <v>4.8789</v>
          </cell>
        </row>
        <row r="171">
          <cell r="A171" t="str">
            <v>ury</v>
          </cell>
          <cell r="BK171" t="str">
            <v>4.5075</v>
          </cell>
        </row>
        <row r="172">
          <cell r="A172" t="str">
            <v>usa</v>
          </cell>
          <cell r="BK172" t="str">
            <v>444.29</v>
          </cell>
        </row>
        <row r="173">
          <cell r="A173" t="str">
            <v>uzb</v>
          </cell>
          <cell r="BK173" t="str">
            <v>44.5</v>
          </cell>
        </row>
        <row r="174">
          <cell r="A174" t="str">
            <v>vct</v>
          </cell>
          <cell r="BK174" t="str">
            <v>0.0085</v>
          </cell>
        </row>
        <row r="175">
          <cell r="A175" t="str">
            <v>ven</v>
          </cell>
          <cell r="BK175" t="str">
            <v>22.626</v>
          </cell>
        </row>
        <row r="176">
          <cell r="A176" t="str">
            <v>vnm</v>
          </cell>
          <cell r="BK176" t="str">
            <v>82.03</v>
          </cell>
        </row>
        <row r="177">
          <cell r="A177" t="str">
            <v>yem</v>
          </cell>
          <cell r="BK177" t="str">
            <v>3.565</v>
          </cell>
        </row>
        <row r="178">
          <cell r="A178" t="str">
            <v>zaf</v>
          </cell>
          <cell r="BK178" t="str">
            <v>19.931</v>
          </cell>
        </row>
        <row r="179">
          <cell r="A179" t="str">
            <v>zmb</v>
          </cell>
          <cell r="BK179" t="str">
            <v>1.572</v>
          </cell>
        </row>
        <row r="180">
          <cell r="A180" t="str">
            <v>zwe</v>
          </cell>
          <cell r="BK180" t="str">
            <v>4.9097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ydro_power_generation_total"/>
    </sheetNames>
    <sheetDataSet>
      <sheetData sheetId="0">
        <row r="2">
          <cell r="A2" t="str">
            <v>ago</v>
          </cell>
          <cell r="BA2" t="str">
            <v>304000</v>
          </cell>
        </row>
        <row r="3">
          <cell r="A3" t="str">
            <v>alb</v>
          </cell>
          <cell r="BA3" t="str">
            <v>651700</v>
          </cell>
        </row>
        <row r="4">
          <cell r="A4" t="str">
            <v>arg</v>
          </cell>
          <cell r="BA4" t="str">
            <v>2888000</v>
          </cell>
        </row>
        <row r="5">
          <cell r="A5" t="str">
            <v>arm</v>
          </cell>
          <cell r="BA5" t="str">
            <v>219800</v>
          </cell>
        </row>
        <row r="6">
          <cell r="A6" t="str">
            <v>aus</v>
          </cell>
          <cell r="BA6" t="str">
            <v>1072000</v>
          </cell>
        </row>
        <row r="7">
          <cell r="A7" t="str">
            <v>aut</v>
          </cell>
          <cell r="BA7" t="str">
            <v>3302000</v>
          </cell>
        </row>
        <row r="8">
          <cell r="A8" t="str">
            <v>aze</v>
          </cell>
          <cell r="BA8" t="str">
            <v>296300</v>
          </cell>
        </row>
        <row r="9">
          <cell r="A9" t="str">
            <v>bel</v>
          </cell>
          <cell r="BA9" t="str">
            <v>26830</v>
          </cell>
        </row>
        <row r="10">
          <cell r="A10" t="str">
            <v>ben</v>
          </cell>
        </row>
        <row r="11">
          <cell r="A11" t="str">
            <v>bgd</v>
          </cell>
          <cell r="BA11" t="str">
            <v>142900</v>
          </cell>
        </row>
        <row r="12">
          <cell r="A12" t="str">
            <v>bgr</v>
          </cell>
          <cell r="BA12" t="str">
            <v>434800</v>
          </cell>
        </row>
        <row r="13">
          <cell r="A13" t="str">
            <v>bih</v>
          </cell>
          <cell r="BA13" t="str">
            <v>690100</v>
          </cell>
        </row>
        <row r="14">
          <cell r="A14" t="str">
            <v>blr</v>
          </cell>
          <cell r="BA14" t="str">
            <v>3869</v>
          </cell>
        </row>
        <row r="15">
          <cell r="A15" t="str">
            <v>bol</v>
          </cell>
          <cell r="BA15" t="str">
            <v>187600</v>
          </cell>
        </row>
        <row r="16">
          <cell r="A16" t="str">
            <v>bra</v>
          </cell>
          <cell r="BA16" t="str">
            <v>34680000</v>
          </cell>
        </row>
        <row r="17">
          <cell r="A17" t="str">
            <v>can</v>
          </cell>
          <cell r="BA17" t="str">
            <v>30220000</v>
          </cell>
        </row>
        <row r="18">
          <cell r="A18" t="str">
            <v>che</v>
          </cell>
          <cell r="BA18" t="str">
            <v>3101000</v>
          </cell>
        </row>
        <row r="19">
          <cell r="A19" t="str">
            <v>chl</v>
          </cell>
          <cell r="BA19" t="str">
            <v>1867000</v>
          </cell>
        </row>
        <row r="20">
          <cell r="A20" t="str">
            <v>chn</v>
          </cell>
          <cell r="BA20" t="str">
            <v>62100000</v>
          </cell>
        </row>
        <row r="21">
          <cell r="A21" t="str">
            <v>civ</v>
          </cell>
          <cell r="BA21" t="str">
            <v>139100</v>
          </cell>
        </row>
        <row r="22">
          <cell r="A22" t="str">
            <v>cmr</v>
          </cell>
          <cell r="BA22" t="str">
            <v>366300</v>
          </cell>
        </row>
        <row r="23">
          <cell r="A23" t="str">
            <v>cod</v>
          </cell>
          <cell r="BA23" t="str">
            <v>674900</v>
          </cell>
        </row>
        <row r="24">
          <cell r="A24" t="str">
            <v>cog</v>
          </cell>
          <cell r="BA24" t="str">
            <v>36970</v>
          </cell>
        </row>
        <row r="25">
          <cell r="A25" t="str">
            <v>col</v>
          </cell>
          <cell r="BA25" t="str">
            <v>3474000</v>
          </cell>
        </row>
        <row r="26">
          <cell r="A26" t="str">
            <v>cri</v>
          </cell>
          <cell r="BA26" t="str">
            <v>624500</v>
          </cell>
        </row>
        <row r="27">
          <cell r="A27" t="str">
            <v>cub</v>
          </cell>
          <cell r="BA27" t="str">
            <v>8340</v>
          </cell>
        </row>
        <row r="28">
          <cell r="A28" t="str">
            <v>cze</v>
          </cell>
          <cell r="BA28" t="str">
            <v>239800</v>
          </cell>
        </row>
        <row r="29">
          <cell r="A29" t="str">
            <v>deu</v>
          </cell>
          <cell r="BA29" t="str">
            <v>1756000</v>
          </cell>
        </row>
        <row r="30">
          <cell r="A30" t="str">
            <v>dnk</v>
          </cell>
          <cell r="BA30" t="str">
            <v>1806</v>
          </cell>
        </row>
        <row r="31">
          <cell r="A31" t="str">
            <v>dom</v>
          </cell>
          <cell r="BA31" t="str">
            <v>154200</v>
          </cell>
        </row>
        <row r="32">
          <cell r="A32" t="str">
            <v>dza</v>
          </cell>
          <cell r="BA32" t="str">
            <v>14960</v>
          </cell>
        </row>
        <row r="33">
          <cell r="A33" t="str">
            <v>ecu</v>
          </cell>
          <cell r="BA33" t="str">
            <v>742600</v>
          </cell>
        </row>
        <row r="34">
          <cell r="A34" t="str">
            <v>egy</v>
          </cell>
          <cell r="BA34" t="str">
            <v>1122000</v>
          </cell>
        </row>
        <row r="35">
          <cell r="A35" t="str">
            <v>esp</v>
          </cell>
          <cell r="BA35" t="str">
            <v>3635000</v>
          </cell>
        </row>
        <row r="36">
          <cell r="A36" t="str">
            <v>est</v>
          </cell>
          <cell r="BA36" t="str">
            <v>2322</v>
          </cell>
        </row>
        <row r="37">
          <cell r="A37" t="str">
            <v>eth</v>
          </cell>
          <cell r="BA37" t="str">
            <v>424000</v>
          </cell>
        </row>
        <row r="38">
          <cell r="A38" t="str">
            <v>fin</v>
          </cell>
          <cell r="BA38" t="str">
            <v>1111000</v>
          </cell>
        </row>
        <row r="39">
          <cell r="A39" t="str">
            <v>fra</v>
          </cell>
          <cell r="BA39" t="str">
            <v>5332000</v>
          </cell>
        </row>
        <row r="40">
          <cell r="A40" t="str">
            <v>gab</v>
          </cell>
          <cell r="BA40" t="str">
            <v>69560</v>
          </cell>
        </row>
        <row r="41">
          <cell r="A41" t="str">
            <v>gbr</v>
          </cell>
          <cell r="BA41" t="str">
            <v>309900</v>
          </cell>
        </row>
        <row r="42">
          <cell r="A42" t="str">
            <v>geo</v>
          </cell>
          <cell r="BA42" t="str">
            <v>805400</v>
          </cell>
        </row>
        <row r="43">
          <cell r="A43" t="str">
            <v>gha</v>
          </cell>
          <cell r="BA43" t="str">
            <v>601500</v>
          </cell>
        </row>
        <row r="44">
          <cell r="A44" t="str">
            <v>grc</v>
          </cell>
          <cell r="BA44" t="str">
            <v>641400</v>
          </cell>
        </row>
        <row r="45">
          <cell r="A45" t="str">
            <v>gtm</v>
          </cell>
          <cell r="BA45" t="str">
            <v>283200</v>
          </cell>
        </row>
        <row r="46">
          <cell r="A46" t="str">
            <v>hnd</v>
          </cell>
          <cell r="BA46" t="str">
            <v>255000</v>
          </cell>
        </row>
        <row r="47">
          <cell r="A47" t="str">
            <v>hrv</v>
          </cell>
          <cell r="BA47" t="str">
            <v>716200</v>
          </cell>
        </row>
        <row r="48">
          <cell r="A48" t="str">
            <v>hti</v>
          </cell>
          <cell r="BA48" t="str">
            <v>15220</v>
          </cell>
        </row>
        <row r="49">
          <cell r="A49" t="str">
            <v>hun</v>
          </cell>
          <cell r="BA49" t="str">
            <v>16170</v>
          </cell>
        </row>
        <row r="50">
          <cell r="A50" t="str">
            <v>idn</v>
          </cell>
          <cell r="BA50" t="str">
            <v>1520000</v>
          </cell>
        </row>
        <row r="51">
          <cell r="A51" t="str">
            <v>ind</v>
          </cell>
          <cell r="BA51" t="str">
            <v>9839000</v>
          </cell>
        </row>
        <row r="52">
          <cell r="A52" t="str">
            <v>irl</v>
          </cell>
          <cell r="BA52" t="str">
            <v>51500</v>
          </cell>
        </row>
        <row r="53">
          <cell r="A53" t="str">
            <v>irn</v>
          </cell>
          <cell r="BA53" t="str">
            <v>819100</v>
          </cell>
        </row>
        <row r="54">
          <cell r="A54" t="str">
            <v>irq</v>
          </cell>
          <cell r="BA54" t="str">
            <v>409800</v>
          </cell>
        </row>
        <row r="55">
          <cell r="A55" t="str">
            <v>isl</v>
          </cell>
          <cell r="BA55" t="str">
            <v>1083000</v>
          </cell>
        </row>
        <row r="56">
          <cell r="A56" t="str">
            <v>isr</v>
          </cell>
          <cell r="BA56" t="str">
            <v>2494</v>
          </cell>
        </row>
        <row r="57">
          <cell r="A57" t="str">
            <v>ita</v>
          </cell>
          <cell r="BA57" t="str">
            <v>4395000</v>
          </cell>
        </row>
        <row r="58">
          <cell r="A58" t="str">
            <v>jam</v>
          </cell>
          <cell r="BA58" t="str">
            <v>13070</v>
          </cell>
        </row>
        <row r="59">
          <cell r="A59" t="str">
            <v>jor</v>
          </cell>
          <cell r="BA59" t="str">
            <v>5245</v>
          </cell>
        </row>
        <row r="60">
          <cell r="A60" t="str">
            <v>jpn</v>
          </cell>
          <cell r="BA60" t="str">
            <v>7069000</v>
          </cell>
        </row>
        <row r="61">
          <cell r="A61" t="str">
            <v>kaz</v>
          </cell>
          <cell r="BA61" t="str">
            <v>689800</v>
          </cell>
        </row>
        <row r="62">
          <cell r="A62" t="str">
            <v>ken</v>
          </cell>
          <cell r="BA62" t="str">
            <v>294700</v>
          </cell>
        </row>
        <row r="63">
          <cell r="A63" t="str">
            <v>kgz</v>
          </cell>
          <cell r="BA63" t="str">
            <v>888200</v>
          </cell>
        </row>
        <row r="64">
          <cell r="A64" t="str">
            <v>khm</v>
          </cell>
          <cell r="BA64" t="str">
            <v>2236</v>
          </cell>
        </row>
        <row r="65">
          <cell r="A65" t="str">
            <v>kor</v>
          </cell>
          <cell r="BA65" t="str">
            <v>316600</v>
          </cell>
        </row>
        <row r="66">
          <cell r="A66" t="str">
            <v>lbn</v>
          </cell>
          <cell r="BA66" t="str">
            <v>72140</v>
          </cell>
        </row>
        <row r="67">
          <cell r="A67" t="str">
            <v>lka</v>
          </cell>
          <cell r="BA67" t="str">
            <v>484400</v>
          </cell>
        </row>
        <row r="68">
          <cell r="A68" t="str">
            <v>ltu</v>
          </cell>
          <cell r="BA68" t="str">
            <v>46430</v>
          </cell>
        </row>
        <row r="69">
          <cell r="A69" t="str">
            <v>lux</v>
          </cell>
          <cell r="BA69" t="str">
            <v>9286</v>
          </cell>
        </row>
        <row r="70">
          <cell r="A70" t="str">
            <v>lva</v>
          </cell>
          <cell r="BA70" t="str">
            <v>302700</v>
          </cell>
        </row>
        <row r="71">
          <cell r="A71" t="str">
            <v>mar</v>
          </cell>
          <cell r="BA71" t="str">
            <v>298200</v>
          </cell>
        </row>
        <row r="72">
          <cell r="A72" t="str">
            <v>mda</v>
          </cell>
          <cell r="BA72" t="str">
            <v>6793</v>
          </cell>
        </row>
        <row r="73">
          <cell r="A73" t="str">
            <v>mex</v>
          </cell>
          <cell r="BA73" t="str">
            <v>3192000</v>
          </cell>
        </row>
        <row r="74">
          <cell r="A74" t="str">
            <v>mkd</v>
          </cell>
          <cell r="BA74" t="str">
            <v>208900</v>
          </cell>
        </row>
        <row r="75">
          <cell r="A75" t="str">
            <v>mmr</v>
          </cell>
          <cell r="BA75" t="str">
            <v>439000</v>
          </cell>
        </row>
        <row r="76">
          <cell r="A76" t="str">
            <v>mne</v>
          </cell>
          <cell r="BA76" t="str">
            <v>236500</v>
          </cell>
        </row>
        <row r="77">
          <cell r="A77" t="str">
            <v>moz</v>
          </cell>
          <cell r="BA77" t="str">
            <v>1431000</v>
          </cell>
        </row>
        <row r="78">
          <cell r="A78" t="str">
            <v>mys</v>
          </cell>
          <cell r="BA78" t="str">
            <v>556500</v>
          </cell>
        </row>
        <row r="79">
          <cell r="A79" t="str">
            <v>nam</v>
          </cell>
          <cell r="BA79" t="str">
            <v>108700</v>
          </cell>
        </row>
        <row r="80">
          <cell r="A80" t="str">
            <v>nga</v>
          </cell>
          <cell r="BA80" t="str">
            <v>548100</v>
          </cell>
        </row>
        <row r="81">
          <cell r="A81" t="str">
            <v>nic</v>
          </cell>
          <cell r="BA81" t="str">
            <v>43340</v>
          </cell>
        </row>
        <row r="82">
          <cell r="A82" t="str">
            <v>nld</v>
          </cell>
          <cell r="BA82" t="str">
            <v>9028</v>
          </cell>
        </row>
        <row r="83">
          <cell r="A83" t="str">
            <v>nor</v>
          </cell>
          <cell r="BA83" t="str">
            <v>10110000</v>
          </cell>
        </row>
        <row r="84">
          <cell r="A84" t="str">
            <v>npl</v>
          </cell>
          <cell r="BA84" t="str">
            <v>275500</v>
          </cell>
        </row>
        <row r="85">
          <cell r="A85" t="str">
            <v>nzl</v>
          </cell>
          <cell r="BA85" t="str">
            <v>2125000</v>
          </cell>
        </row>
        <row r="86">
          <cell r="A86" t="str">
            <v>pak</v>
          </cell>
          <cell r="BA86" t="str">
            <v>2735000</v>
          </cell>
        </row>
        <row r="87">
          <cell r="A87" t="str">
            <v>pan</v>
          </cell>
          <cell r="BA87" t="str">
            <v>360600</v>
          </cell>
        </row>
        <row r="88">
          <cell r="A88" t="str">
            <v>per</v>
          </cell>
          <cell r="BA88" t="str">
            <v>1723000</v>
          </cell>
        </row>
        <row r="89">
          <cell r="A89" t="str">
            <v>phl</v>
          </cell>
          <cell r="BA89" t="str">
            <v>670900</v>
          </cell>
        </row>
        <row r="90">
          <cell r="A90" t="str">
            <v>pol</v>
          </cell>
          <cell r="BA90" t="str">
            <v>251100</v>
          </cell>
        </row>
        <row r="91">
          <cell r="A91" t="str">
            <v>prk</v>
          </cell>
          <cell r="BA91" t="str">
            <v>1153000</v>
          </cell>
        </row>
        <row r="92">
          <cell r="A92" t="str">
            <v>prt</v>
          </cell>
          <cell r="BA92" t="str">
            <v>1388000</v>
          </cell>
        </row>
        <row r="93">
          <cell r="A93" t="str">
            <v>pry</v>
          </cell>
          <cell r="BA93" t="str">
            <v>4649000</v>
          </cell>
        </row>
        <row r="94">
          <cell r="A94" t="str">
            <v>rou</v>
          </cell>
          <cell r="BA94" t="str">
            <v>1679000</v>
          </cell>
        </row>
        <row r="95">
          <cell r="A95" t="str">
            <v>rus</v>
          </cell>
          <cell r="BA95" t="str">
            <v>14310000</v>
          </cell>
        </row>
        <row r="96">
          <cell r="A96" t="str">
            <v>sdn</v>
          </cell>
          <cell r="BA96" t="str">
            <v>330400</v>
          </cell>
        </row>
        <row r="97">
          <cell r="A97" t="str">
            <v>sen</v>
          </cell>
          <cell r="BA97" t="str">
            <v>21410</v>
          </cell>
        </row>
        <row r="98">
          <cell r="A98" t="str">
            <v>slv</v>
          </cell>
          <cell r="BA98" t="str">
            <v>179200</v>
          </cell>
        </row>
        <row r="99">
          <cell r="A99" t="str">
            <v>srb</v>
          </cell>
          <cell r="BA99" t="str">
            <v>1022000</v>
          </cell>
        </row>
        <row r="100">
          <cell r="A100" t="str">
            <v>svk</v>
          </cell>
          <cell r="BA100" t="str">
            <v>451800</v>
          </cell>
        </row>
        <row r="101">
          <cell r="A101" t="str">
            <v>svn</v>
          </cell>
          <cell r="BA101" t="str">
            <v>388000</v>
          </cell>
        </row>
        <row r="102">
          <cell r="A102" t="str">
            <v>swe</v>
          </cell>
          <cell r="BA102" t="str">
            <v>5709000</v>
          </cell>
        </row>
        <row r="103">
          <cell r="A103" t="str">
            <v>syr</v>
          </cell>
          <cell r="BA103" t="str">
            <v>222900</v>
          </cell>
        </row>
        <row r="104">
          <cell r="A104" t="str">
            <v>tgo</v>
          </cell>
          <cell r="BA104" t="str">
            <v>8340</v>
          </cell>
        </row>
        <row r="105">
          <cell r="A105" t="str">
            <v>tha</v>
          </cell>
          <cell r="BA105" t="str">
            <v>476100</v>
          </cell>
        </row>
        <row r="106">
          <cell r="A106" t="str">
            <v>tjk</v>
          </cell>
          <cell r="BA106" t="str">
            <v>1362000</v>
          </cell>
        </row>
        <row r="107">
          <cell r="A107" t="str">
            <v>tkm</v>
          </cell>
          <cell r="BA107" t="str">
            <v>258</v>
          </cell>
        </row>
        <row r="108">
          <cell r="A108" t="str">
            <v>tun</v>
          </cell>
          <cell r="BA108" t="str">
            <v>4299</v>
          </cell>
        </row>
        <row r="109">
          <cell r="A109" t="str">
            <v>tur</v>
          </cell>
          <cell r="BA109" t="str">
            <v>4454000</v>
          </cell>
        </row>
        <row r="110">
          <cell r="A110" t="str">
            <v>tza</v>
          </cell>
          <cell r="BA110" t="str">
            <v>221300</v>
          </cell>
        </row>
        <row r="111">
          <cell r="A111" t="str">
            <v>ukr</v>
          </cell>
          <cell r="BA111" t="str">
            <v>1131000</v>
          </cell>
        </row>
        <row r="112">
          <cell r="A112" t="str">
            <v>ury</v>
          </cell>
          <cell r="BA112" t="str">
            <v>745100</v>
          </cell>
        </row>
        <row r="113">
          <cell r="A113" t="str">
            <v>usa</v>
          </cell>
          <cell r="BA113" t="str">
            <v>22550000</v>
          </cell>
        </row>
        <row r="114">
          <cell r="A114" t="str">
            <v>uzb</v>
          </cell>
          <cell r="BA114" t="str">
            <v>932100</v>
          </cell>
        </row>
        <row r="115">
          <cell r="A115" t="str">
            <v>ven</v>
          </cell>
          <cell r="BA115" t="str">
            <v>6602000</v>
          </cell>
        </row>
        <row r="116">
          <cell r="A116" t="str">
            <v>vnm</v>
          </cell>
          <cell r="BA116" t="str">
            <v>2369000</v>
          </cell>
        </row>
        <row r="117">
          <cell r="A117" t="str">
            <v>zaf</v>
          </cell>
          <cell r="BA117" t="str">
            <v>183800</v>
          </cell>
        </row>
        <row r="118">
          <cell r="A118" t="str">
            <v>zmb</v>
          </cell>
          <cell r="BA118" t="str">
            <v>969300</v>
          </cell>
        </row>
        <row r="119">
          <cell r="A119" t="str">
            <v>zwe</v>
          </cell>
          <cell r="BA119" t="str">
            <v>349400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_lnd_prcp_mm"/>
    </sheetNames>
    <sheetDataSet>
      <sheetData sheetId="0">
        <row r="2">
          <cell r="A2" t="str">
            <v>afg</v>
          </cell>
          <cell r="BL2" t="str">
            <v>327</v>
          </cell>
        </row>
        <row r="3">
          <cell r="A3" t="str">
            <v>ago</v>
          </cell>
          <cell r="BL3" t="str">
            <v>1010</v>
          </cell>
        </row>
        <row r="4">
          <cell r="A4" t="str">
            <v>alb</v>
          </cell>
          <cell r="BL4" t="str">
            <v>1485</v>
          </cell>
        </row>
        <row r="5">
          <cell r="A5" t="str">
            <v>are</v>
          </cell>
          <cell r="BL5" t="str">
            <v>78</v>
          </cell>
        </row>
        <row r="6">
          <cell r="A6" t="str">
            <v>arg</v>
          </cell>
          <cell r="BL6" t="str">
            <v>591</v>
          </cell>
        </row>
        <row r="7">
          <cell r="A7" t="str">
            <v>arm</v>
          </cell>
          <cell r="BL7" t="str">
            <v>562</v>
          </cell>
        </row>
        <row r="8">
          <cell r="A8" t="str">
            <v>atg</v>
          </cell>
          <cell r="BL8" t="str">
            <v>1030</v>
          </cell>
        </row>
        <row r="9">
          <cell r="A9" t="str">
            <v>aus</v>
          </cell>
          <cell r="BL9" t="str">
            <v>534</v>
          </cell>
        </row>
        <row r="10">
          <cell r="A10" t="str">
            <v>aut</v>
          </cell>
          <cell r="BL10" t="str">
            <v>1110</v>
          </cell>
        </row>
        <row r="11">
          <cell r="A11" t="str">
            <v>aze</v>
          </cell>
          <cell r="BL11" t="str">
            <v>447</v>
          </cell>
        </row>
        <row r="12">
          <cell r="A12" t="str">
            <v>bdi</v>
          </cell>
          <cell r="BL12" t="str">
            <v>1274</v>
          </cell>
        </row>
        <row r="13">
          <cell r="A13" t="str">
            <v>bel</v>
          </cell>
          <cell r="BL13" t="str">
            <v>847</v>
          </cell>
        </row>
        <row r="14">
          <cell r="A14" t="str">
            <v>ben</v>
          </cell>
          <cell r="BL14" t="str">
            <v>1039</v>
          </cell>
        </row>
        <row r="15">
          <cell r="A15" t="str">
            <v>bfa</v>
          </cell>
          <cell r="BL15" t="str">
            <v>748</v>
          </cell>
        </row>
        <row r="16">
          <cell r="A16" t="str">
            <v>bgd</v>
          </cell>
          <cell r="BL16" t="str">
            <v>2666</v>
          </cell>
        </row>
        <row r="17">
          <cell r="A17" t="str">
            <v>bgr</v>
          </cell>
          <cell r="BL17" t="str">
            <v>608</v>
          </cell>
        </row>
        <row r="18">
          <cell r="A18" t="str">
            <v>bhr</v>
          </cell>
          <cell r="BL18" t="str">
            <v>83</v>
          </cell>
        </row>
        <row r="19">
          <cell r="A19" t="str">
            <v>bhs</v>
          </cell>
          <cell r="BL19" t="str">
            <v>1292</v>
          </cell>
        </row>
        <row r="20">
          <cell r="A20" t="str">
            <v>bih</v>
          </cell>
          <cell r="BL20" t="str">
            <v>1028</v>
          </cell>
        </row>
        <row r="21">
          <cell r="A21" t="str">
            <v>blr</v>
          </cell>
          <cell r="BL21" t="str">
            <v>618</v>
          </cell>
        </row>
        <row r="22">
          <cell r="A22" t="str">
            <v>blz</v>
          </cell>
          <cell r="BL22" t="str">
            <v>1705</v>
          </cell>
        </row>
        <row r="23">
          <cell r="A23" t="str">
            <v>bol</v>
          </cell>
          <cell r="BL23" t="str">
            <v>1146</v>
          </cell>
        </row>
        <row r="24">
          <cell r="A24" t="str">
            <v>bra</v>
          </cell>
          <cell r="BL24" t="str">
            <v>1761</v>
          </cell>
        </row>
        <row r="25">
          <cell r="A25" t="str">
            <v>brb</v>
          </cell>
          <cell r="BL25" t="str">
            <v>1422</v>
          </cell>
        </row>
        <row r="26">
          <cell r="A26" t="str">
            <v>brn</v>
          </cell>
          <cell r="BL26" t="str">
            <v>2722</v>
          </cell>
        </row>
        <row r="27">
          <cell r="A27" t="str">
            <v>btn</v>
          </cell>
          <cell r="BL27" t="str">
            <v>2200</v>
          </cell>
        </row>
        <row r="28">
          <cell r="A28" t="str">
            <v>bwa</v>
          </cell>
          <cell r="BL28" t="str">
            <v>416</v>
          </cell>
        </row>
        <row r="29">
          <cell r="A29" t="str">
            <v>caf</v>
          </cell>
          <cell r="BL29" t="str">
            <v>1343</v>
          </cell>
        </row>
        <row r="30">
          <cell r="A30" t="str">
            <v>can</v>
          </cell>
          <cell r="BL30" t="str">
            <v>537</v>
          </cell>
        </row>
        <row r="31">
          <cell r="A31" t="str">
            <v>che</v>
          </cell>
          <cell r="BL31" t="str">
            <v>1537</v>
          </cell>
        </row>
        <row r="32">
          <cell r="A32" t="str">
            <v>chl</v>
          </cell>
          <cell r="BL32" t="str">
            <v>1522</v>
          </cell>
        </row>
        <row r="33">
          <cell r="A33" t="str">
            <v>chn</v>
          </cell>
          <cell r="BL33" t="str">
            <v>645</v>
          </cell>
        </row>
        <row r="34">
          <cell r="A34" t="str">
            <v>civ</v>
          </cell>
          <cell r="BL34" t="str">
            <v>1348</v>
          </cell>
        </row>
        <row r="35">
          <cell r="A35" t="str">
            <v>cmr</v>
          </cell>
          <cell r="BL35" t="str">
            <v>1604</v>
          </cell>
        </row>
        <row r="36">
          <cell r="A36" t="str">
            <v>cod</v>
          </cell>
          <cell r="BL36" t="str">
            <v>1543</v>
          </cell>
        </row>
        <row r="37">
          <cell r="A37" t="str">
            <v>cog</v>
          </cell>
          <cell r="BL37" t="str">
            <v>1646</v>
          </cell>
        </row>
        <row r="38">
          <cell r="A38" t="str">
            <v>col</v>
          </cell>
          <cell r="BL38" t="str">
            <v>3240</v>
          </cell>
        </row>
        <row r="39">
          <cell r="A39" t="str">
            <v>com</v>
          </cell>
          <cell r="BL39" t="str">
            <v>900</v>
          </cell>
        </row>
        <row r="40">
          <cell r="A40" t="str">
            <v>cpv</v>
          </cell>
          <cell r="BL40" t="str">
            <v>228</v>
          </cell>
        </row>
        <row r="41">
          <cell r="A41" t="str">
            <v>cri</v>
          </cell>
          <cell r="BL41" t="str">
            <v>2926</v>
          </cell>
        </row>
        <row r="42">
          <cell r="A42" t="str">
            <v>cub</v>
          </cell>
          <cell r="BL42" t="str">
            <v>1335</v>
          </cell>
        </row>
        <row r="43">
          <cell r="A43" t="str">
            <v>cyp</v>
          </cell>
          <cell r="BL43" t="str">
            <v>498</v>
          </cell>
        </row>
        <row r="44">
          <cell r="A44" t="str">
            <v>cze</v>
          </cell>
          <cell r="BL44" t="str">
            <v>677</v>
          </cell>
        </row>
        <row r="45">
          <cell r="A45" t="str">
            <v>deu</v>
          </cell>
          <cell r="BL45" t="str">
            <v>700</v>
          </cell>
        </row>
        <row r="46">
          <cell r="A46" t="str">
            <v>dji</v>
          </cell>
          <cell r="BL46" t="str">
            <v>220</v>
          </cell>
        </row>
        <row r="47">
          <cell r="A47" t="str">
            <v>dma</v>
          </cell>
          <cell r="BL47" t="str">
            <v>2083</v>
          </cell>
        </row>
        <row r="48">
          <cell r="A48" t="str">
            <v>dnk</v>
          </cell>
          <cell r="BL48" t="str">
            <v>703</v>
          </cell>
        </row>
        <row r="49">
          <cell r="A49" t="str">
            <v>dom</v>
          </cell>
          <cell r="BL49" t="str">
            <v>1410</v>
          </cell>
        </row>
        <row r="50">
          <cell r="A50" t="str">
            <v>dza</v>
          </cell>
          <cell r="BL50" t="str">
            <v>89</v>
          </cell>
        </row>
        <row r="51">
          <cell r="A51" t="str">
            <v>ecu</v>
          </cell>
          <cell r="BL51" t="str">
            <v>2274</v>
          </cell>
        </row>
        <row r="52">
          <cell r="A52" t="str">
            <v>egy</v>
          </cell>
          <cell r="BL52" t="str">
            <v>18.1</v>
          </cell>
        </row>
        <row r="53">
          <cell r="A53" t="str">
            <v>eri</v>
          </cell>
          <cell r="BL53" t="str">
            <v>384</v>
          </cell>
        </row>
        <row r="54">
          <cell r="A54" t="str">
            <v>esp</v>
          </cell>
          <cell r="BL54" t="str">
            <v>636</v>
          </cell>
        </row>
        <row r="55">
          <cell r="A55" t="str">
            <v>est</v>
          </cell>
          <cell r="BL55" t="str">
            <v>626</v>
          </cell>
        </row>
        <row r="56">
          <cell r="A56" t="str">
            <v>eth</v>
          </cell>
          <cell r="BL56" t="str">
            <v>848</v>
          </cell>
        </row>
        <row r="57">
          <cell r="A57" t="str">
            <v>fin</v>
          </cell>
          <cell r="BL57" t="str">
            <v>536</v>
          </cell>
        </row>
        <row r="58">
          <cell r="A58" t="str">
            <v>fji</v>
          </cell>
          <cell r="BL58" t="str">
            <v>2592</v>
          </cell>
        </row>
        <row r="59">
          <cell r="A59" t="str">
            <v>fra</v>
          </cell>
          <cell r="BL59" t="str">
            <v>867</v>
          </cell>
        </row>
        <row r="60">
          <cell r="A60" t="str">
            <v>gab</v>
          </cell>
          <cell r="BL60" t="str">
            <v>1831</v>
          </cell>
        </row>
        <row r="61">
          <cell r="A61" t="str">
            <v>gbr</v>
          </cell>
          <cell r="BL61" t="str">
            <v>1220</v>
          </cell>
        </row>
        <row r="62">
          <cell r="A62" t="str">
            <v>geo</v>
          </cell>
          <cell r="BL62" t="str">
            <v>1026</v>
          </cell>
        </row>
        <row r="63">
          <cell r="A63" t="str">
            <v>gha</v>
          </cell>
          <cell r="BL63" t="str">
            <v>1187</v>
          </cell>
        </row>
        <row r="64">
          <cell r="A64" t="str">
            <v>gin</v>
          </cell>
          <cell r="BL64" t="str">
            <v>1651</v>
          </cell>
        </row>
        <row r="65">
          <cell r="A65" t="str">
            <v>gmb</v>
          </cell>
          <cell r="BL65" t="str">
            <v>836</v>
          </cell>
        </row>
        <row r="66">
          <cell r="A66" t="str">
            <v>gnb</v>
          </cell>
          <cell r="BL66" t="str">
            <v>1577</v>
          </cell>
        </row>
        <row r="67">
          <cell r="A67" t="str">
            <v>gnq</v>
          </cell>
          <cell r="BL67" t="str">
            <v>2156</v>
          </cell>
        </row>
        <row r="68">
          <cell r="A68" t="str">
            <v>grc</v>
          </cell>
          <cell r="BL68" t="str">
            <v>652</v>
          </cell>
        </row>
        <row r="69">
          <cell r="A69" t="str">
            <v>grd</v>
          </cell>
          <cell r="BL69" t="str">
            <v>2350</v>
          </cell>
        </row>
        <row r="70">
          <cell r="A70" t="str">
            <v>gtm</v>
          </cell>
          <cell r="BL70" t="str">
            <v>1996</v>
          </cell>
        </row>
        <row r="71">
          <cell r="A71" t="str">
            <v>guy</v>
          </cell>
          <cell r="BL71" t="str">
            <v>2387</v>
          </cell>
        </row>
        <row r="72">
          <cell r="A72" t="str">
            <v>hnd</v>
          </cell>
          <cell r="BL72" t="str">
            <v>1976</v>
          </cell>
        </row>
        <row r="73">
          <cell r="A73" t="str">
            <v>hrv</v>
          </cell>
          <cell r="BL73" t="str">
            <v>1113</v>
          </cell>
        </row>
        <row r="74">
          <cell r="A74" t="str">
            <v>hti</v>
          </cell>
          <cell r="BL74" t="str">
            <v>1440</v>
          </cell>
        </row>
        <row r="75">
          <cell r="A75" t="str">
            <v>hun</v>
          </cell>
          <cell r="BL75" t="str">
            <v>589</v>
          </cell>
        </row>
        <row r="76">
          <cell r="A76" t="str">
            <v>idn</v>
          </cell>
          <cell r="BL76" t="str">
            <v>2702</v>
          </cell>
        </row>
        <row r="77">
          <cell r="A77" t="str">
            <v>ind</v>
          </cell>
          <cell r="BL77" t="str">
            <v>1083</v>
          </cell>
        </row>
        <row r="78">
          <cell r="A78" t="str">
            <v>irl</v>
          </cell>
          <cell r="BL78" t="str">
            <v>1118</v>
          </cell>
        </row>
        <row r="79">
          <cell r="A79" t="str">
            <v>irn</v>
          </cell>
          <cell r="BL79" t="str">
            <v>228</v>
          </cell>
        </row>
        <row r="80">
          <cell r="A80" t="str">
            <v>irq</v>
          </cell>
          <cell r="BL80" t="str">
            <v>216</v>
          </cell>
        </row>
        <row r="81">
          <cell r="A81" t="str">
            <v>isl</v>
          </cell>
          <cell r="BL81" t="str">
            <v>1940</v>
          </cell>
        </row>
        <row r="82">
          <cell r="A82" t="str">
            <v>isr</v>
          </cell>
        </row>
        <row r="83">
          <cell r="A83" t="str">
            <v>ita</v>
          </cell>
          <cell r="BL83" t="str">
            <v>832</v>
          </cell>
        </row>
        <row r="84">
          <cell r="A84" t="str">
            <v>jam</v>
          </cell>
          <cell r="BL84" t="str">
            <v>2051</v>
          </cell>
        </row>
        <row r="85">
          <cell r="A85" t="str">
            <v>jor</v>
          </cell>
          <cell r="BL85" t="str">
            <v>111</v>
          </cell>
        </row>
        <row r="86">
          <cell r="A86" t="str">
            <v>jpn</v>
          </cell>
          <cell r="BL86" t="str">
            <v>1668</v>
          </cell>
        </row>
        <row r="87">
          <cell r="A87" t="str">
            <v>kaz</v>
          </cell>
          <cell r="BL87" t="str">
            <v>250</v>
          </cell>
        </row>
        <row r="88">
          <cell r="A88" t="str">
            <v>ken</v>
          </cell>
          <cell r="BL88" t="str">
            <v>630</v>
          </cell>
        </row>
        <row r="89">
          <cell r="A89" t="str">
            <v>kgz</v>
          </cell>
          <cell r="BL89" t="str">
            <v>533</v>
          </cell>
        </row>
        <row r="90">
          <cell r="A90" t="str">
            <v>khm</v>
          </cell>
          <cell r="BL90" t="str">
            <v>1904</v>
          </cell>
        </row>
        <row r="91">
          <cell r="A91" t="str">
            <v>kna</v>
          </cell>
          <cell r="BL91" t="str">
            <v>1427</v>
          </cell>
        </row>
        <row r="92">
          <cell r="A92" t="str">
            <v>kor</v>
          </cell>
          <cell r="BL92" t="str">
            <v>1274</v>
          </cell>
        </row>
        <row r="93">
          <cell r="A93" t="str">
            <v>kwt</v>
          </cell>
          <cell r="BL93" t="str">
            <v>121</v>
          </cell>
        </row>
        <row r="94">
          <cell r="A94" t="str">
            <v>lao</v>
          </cell>
          <cell r="BL94" t="str">
            <v>1834</v>
          </cell>
        </row>
        <row r="95">
          <cell r="A95" t="str">
            <v>lbn</v>
          </cell>
          <cell r="BL95" t="str">
            <v>661</v>
          </cell>
        </row>
        <row r="96">
          <cell r="A96" t="str">
            <v>lbr</v>
          </cell>
          <cell r="BL96" t="str">
            <v>2391</v>
          </cell>
        </row>
        <row r="97">
          <cell r="A97" t="str">
            <v>lby</v>
          </cell>
          <cell r="BL97" t="str">
            <v>56</v>
          </cell>
        </row>
        <row r="98">
          <cell r="A98" t="str">
            <v>lca</v>
          </cell>
          <cell r="BL98" t="str">
            <v>2301</v>
          </cell>
        </row>
        <row r="99">
          <cell r="A99" t="str">
            <v>lka</v>
          </cell>
          <cell r="BL99" t="str">
            <v>1712</v>
          </cell>
        </row>
        <row r="100">
          <cell r="A100" t="str">
            <v>lso</v>
          </cell>
          <cell r="BL100" t="str">
            <v>788</v>
          </cell>
        </row>
        <row r="101">
          <cell r="A101" t="str">
            <v>ltu</v>
          </cell>
          <cell r="BL101" t="str">
            <v>656</v>
          </cell>
        </row>
        <row r="102">
          <cell r="A102" t="str">
            <v>lux</v>
          </cell>
          <cell r="BL102" t="str">
            <v>934</v>
          </cell>
        </row>
        <row r="103">
          <cell r="A103" t="str">
            <v>lva</v>
          </cell>
          <cell r="BL103" t="str">
            <v>667</v>
          </cell>
        </row>
        <row r="104">
          <cell r="A104" t="str">
            <v>mar</v>
          </cell>
          <cell r="BL104" t="str">
            <v>346</v>
          </cell>
        </row>
        <row r="105">
          <cell r="A105" t="str">
            <v>mda</v>
          </cell>
          <cell r="BL105" t="str">
            <v>450</v>
          </cell>
        </row>
        <row r="106">
          <cell r="A106" t="str">
            <v>mdg</v>
          </cell>
          <cell r="BL106" t="str">
            <v>1513</v>
          </cell>
        </row>
        <row r="107">
          <cell r="A107" t="str">
            <v>mdv</v>
          </cell>
          <cell r="BL107" t="str">
            <v>1972</v>
          </cell>
        </row>
        <row r="108">
          <cell r="A108" t="str">
            <v>mex</v>
          </cell>
          <cell r="BL108" t="str">
            <v>758</v>
          </cell>
        </row>
        <row r="109">
          <cell r="A109" t="str">
            <v>mkd</v>
          </cell>
          <cell r="BL109" t="str">
            <v>619</v>
          </cell>
        </row>
        <row r="110">
          <cell r="A110" t="str">
            <v>mli</v>
          </cell>
          <cell r="BL110" t="str">
            <v>282</v>
          </cell>
        </row>
        <row r="111">
          <cell r="A111" t="str">
            <v>mlt</v>
          </cell>
          <cell r="BL111" t="str">
            <v>560</v>
          </cell>
        </row>
        <row r="112">
          <cell r="A112" t="str">
            <v>mmr</v>
          </cell>
          <cell r="BL112" t="str">
            <v>2091</v>
          </cell>
        </row>
        <row r="113">
          <cell r="A113" t="str">
            <v>mng</v>
          </cell>
          <cell r="BL113" t="str">
            <v>241</v>
          </cell>
        </row>
        <row r="114">
          <cell r="A114" t="str">
            <v>moz</v>
          </cell>
          <cell r="BL114" t="str">
            <v>1032</v>
          </cell>
        </row>
        <row r="115">
          <cell r="A115" t="str">
            <v>mrt</v>
          </cell>
          <cell r="BL115" t="str">
            <v>92</v>
          </cell>
        </row>
        <row r="116">
          <cell r="A116" t="str">
            <v>mus</v>
          </cell>
          <cell r="BL116" t="str">
            <v>2041</v>
          </cell>
        </row>
        <row r="117">
          <cell r="A117" t="str">
            <v>mwi</v>
          </cell>
          <cell r="BL117" t="str">
            <v>1181</v>
          </cell>
        </row>
        <row r="118">
          <cell r="A118" t="str">
            <v>mys</v>
          </cell>
          <cell r="BL118" t="str">
            <v>2875</v>
          </cell>
        </row>
        <row r="119">
          <cell r="A119" t="str">
            <v>nam</v>
          </cell>
          <cell r="BL119" t="str">
            <v>285</v>
          </cell>
        </row>
        <row r="120">
          <cell r="A120" t="str">
            <v>ner</v>
          </cell>
          <cell r="BL120" t="str">
            <v>151</v>
          </cell>
        </row>
        <row r="121">
          <cell r="A121" t="str">
            <v>nga</v>
          </cell>
          <cell r="BL121" t="str">
            <v>1150</v>
          </cell>
        </row>
        <row r="122">
          <cell r="A122" t="str">
            <v>nic</v>
          </cell>
          <cell r="BL122" t="str">
            <v>2280</v>
          </cell>
        </row>
        <row r="123">
          <cell r="A123" t="str">
            <v>nld</v>
          </cell>
          <cell r="BL123" t="str">
            <v>778</v>
          </cell>
        </row>
        <row r="124">
          <cell r="A124" t="str">
            <v>nor</v>
          </cell>
          <cell r="BL124" t="str">
            <v>1414</v>
          </cell>
        </row>
        <row r="125">
          <cell r="A125" t="str">
            <v>npl</v>
          </cell>
          <cell r="BL125" t="str">
            <v>1500</v>
          </cell>
        </row>
        <row r="126">
          <cell r="A126" t="str">
            <v>nzl</v>
          </cell>
          <cell r="BL126" t="str">
            <v>1732</v>
          </cell>
        </row>
        <row r="127">
          <cell r="A127" t="str">
            <v>omn</v>
          </cell>
          <cell r="BL127" t="str">
            <v>125</v>
          </cell>
        </row>
        <row r="128">
          <cell r="A128" t="str">
            <v>pak</v>
          </cell>
          <cell r="BL128" t="str">
            <v>494</v>
          </cell>
        </row>
        <row r="129">
          <cell r="A129" t="str">
            <v>pan</v>
          </cell>
          <cell r="BL129" t="str">
            <v>2928</v>
          </cell>
        </row>
        <row r="130">
          <cell r="A130" t="str">
            <v>per</v>
          </cell>
          <cell r="BL130" t="str">
            <v>1738</v>
          </cell>
        </row>
        <row r="131">
          <cell r="A131" t="str">
            <v>phl</v>
          </cell>
          <cell r="BL131" t="str">
            <v>2348</v>
          </cell>
        </row>
        <row r="132">
          <cell r="A132" t="str">
            <v>png</v>
          </cell>
          <cell r="BL132" t="str">
            <v>3142</v>
          </cell>
        </row>
        <row r="133">
          <cell r="A133" t="str">
            <v>pol</v>
          </cell>
          <cell r="BL133" t="str">
            <v>600</v>
          </cell>
        </row>
        <row r="134">
          <cell r="A134" t="str">
            <v>prk</v>
          </cell>
          <cell r="BL134" t="str">
            <v>1054</v>
          </cell>
        </row>
        <row r="135">
          <cell r="A135" t="str">
            <v>prt</v>
          </cell>
          <cell r="BL135" t="str">
            <v>854</v>
          </cell>
        </row>
        <row r="136">
          <cell r="A136" t="str">
            <v>pry</v>
          </cell>
          <cell r="BL136" t="str">
            <v>1130</v>
          </cell>
        </row>
        <row r="137">
          <cell r="A137" t="str">
            <v>pse</v>
          </cell>
        </row>
        <row r="138">
          <cell r="A138" t="str">
            <v>qat</v>
          </cell>
          <cell r="BL138" t="str">
            <v>74</v>
          </cell>
        </row>
        <row r="139">
          <cell r="A139" t="str">
            <v>rou</v>
          </cell>
          <cell r="BL139" t="str">
            <v>637</v>
          </cell>
        </row>
        <row r="140">
          <cell r="A140" t="str">
            <v>rus</v>
          </cell>
          <cell r="BL140" t="str">
            <v>460</v>
          </cell>
        </row>
        <row r="141">
          <cell r="A141" t="str">
            <v>rwa</v>
          </cell>
          <cell r="BL141" t="str">
            <v>1212</v>
          </cell>
        </row>
        <row r="142">
          <cell r="A142" t="str">
            <v>sau</v>
          </cell>
          <cell r="BL142" t="str">
            <v>59</v>
          </cell>
        </row>
        <row r="143">
          <cell r="A143" t="str">
            <v>sdn</v>
          </cell>
          <cell r="BL143" t="str">
            <v>250</v>
          </cell>
        </row>
        <row r="144">
          <cell r="A144" t="str">
            <v>sen</v>
          </cell>
          <cell r="BL144" t="str">
            <v>686</v>
          </cell>
        </row>
        <row r="145">
          <cell r="A145" t="str">
            <v>sgp</v>
          </cell>
          <cell r="BL145" t="str">
            <v>2497</v>
          </cell>
        </row>
        <row r="146">
          <cell r="A146" t="str">
            <v>slb</v>
          </cell>
          <cell r="BL146" t="str">
            <v>3028</v>
          </cell>
        </row>
        <row r="147">
          <cell r="A147" t="str">
            <v>sle</v>
          </cell>
          <cell r="BL147" t="str">
            <v>2526</v>
          </cell>
        </row>
        <row r="148">
          <cell r="A148" t="str">
            <v>slv</v>
          </cell>
          <cell r="BL148" t="str">
            <v>1784</v>
          </cell>
        </row>
        <row r="149">
          <cell r="A149" t="str">
            <v>som</v>
          </cell>
          <cell r="BL149" t="str">
            <v>282</v>
          </cell>
        </row>
        <row r="150">
          <cell r="A150" t="str">
            <v>ssd</v>
          </cell>
          <cell r="BL150" t="str">
            <v>900</v>
          </cell>
        </row>
        <row r="151">
          <cell r="A151" t="str">
            <v>stp</v>
          </cell>
          <cell r="BL151" t="str">
            <v>3200</v>
          </cell>
        </row>
        <row r="152">
          <cell r="A152" t="str">
            <v>sur</v>
          </cell>
          <cell r="BL152" t="str">
            <v>2331</v>
          </cell>
        </row>
        <row r="153">
          <cell r="A153" t="str">
            <v>svk</v>
          </cell>
          <cell r="BL153" t="str">
            <v>824</v>
          </cell>
        </row>
        <row r="154">
          <cell r="A154" t="str">
            <v>svn</v>
          </cell>
          <cell r="BL154" t="str">
            <v>1162</v>
          </cell>
        </row>
        <row r="155">
          <cell r="A155" t="str">
            <v>swe</v>
          </cell>
          <cell r="BL155" t="str">
            <v>624</v>
          </cell>
        </row>
        <row r="156">
          <cell r="A156" t="str">
            <v>swz</v>
          </cell>
          <cell r="BL156" t="str">
            <v>788</v>
          </cell>
        </row>
        <row r="157">
          <cell r="A157" t="str">
            <v>syc</v>
          </cell>
          <cell r="BL157" t="str">
            <v>2330</v>
          </cell>
        </row>
        <row r="158">
          <cell r="A158" t="str">
            <v>syr</v>
          </cell>
          <cell r="BL158" t="str">
            <v>252</v>
          </cell>
        </row>
        <row r="159">
          <cell r="A159" t="str">
            <v>tcd</v>
          </cell>
          <cell r="BL159" t="str">
            <v>322</v>
          </cell>
        </row>
        <row r="160">
          <cell r="A160" t="str">
            <v>tgo</v>
          </cell>
          <cell r="BL160" t="str">
            <v>1168</v>
          </cell>
        </row>
        <row r="161">
          <cell r="A161" t="str">
            <v>tha</v>
          </cell>
          <cell r="BL161" t="str">
            <v>1622</v>
          </cell>
        </row>
        <row r="162">
          <cell r="A162" t="str">
            <v>tjk</v>
          </cell>
          <cell r="BL162" t="str">
            <v>691</v>
          </cell>
        </row>
        <row r="163">
          <cell r="A163" t="str">
            <v>tkm</v>
          </cell>
          <cell r="BL163" t="str">
            <v>161</v>
          </cell>
        </row>
        <row r="164">
          <cell r="A164" t="str">
            <v>tls</v>
          </cell>
          <cell r="BL164" t="str">
            <v>1500</v>
          </cell>
        </row>
        <row r="165">
          <cell r="A165" t="str">
            <v>tto</v>
          </cell>
          <cell r="BL165" t="str">
            <v>2200</v>
          </cell>
        </row>
        <row r="166">
          <cell r="A166" t="str">
            <v>tun</v>
          </cell>
          <cell r="BL166" t="str">
            <v>207</v>
          </cell>
        </row>
        <row r="167">
          <cell r="A167" t="str">
            <v>tur</v>
          </cell>
          <cell r="BL167" t="str">
            <v>593</v>
          </cell>
        </row>
        <row r="168">
          <cell r="A168" t="str">
            <v>tza</v>
          </cell>
          <cell r="BL168" t="str">
            <v>1071</v>
          </cell>
        </row>
        <row r="169">
          <cell r="A169" t="str">
            <v>uga</v>
          </cell>
          <cell r="BL169" t="str">
            <v>1180</v>
          </cell>
        </row>
        <row r="170">
          <cell r="A170" t="str">
            <v>ukr</v>
          </cell>
          <cell r="BL170" t="str">
            <v>565</v>
          </cell>
        </row>
        <row r="171">
          <cell r="A171" t="str">
            <v>ury</v>
          </cell>
          <cell r="BL171" t="str">
            <v>1300</v>
          </cell>
        </row>
        <row r="172">
          <cell r="A172" t="str">
            <v>usa</v>
          </cell>
          <cell r="BL172" t="str">
            <v>715</v>
          </cell>
        </row>
        <row r="173">
          <cell r="A173" t="str">
            <v>uzb</v>
          </cell>
          <cell r="BL173" t="str">
            <v>206</v>
          </cell>
        </row>
        <row r="174">
          <cell r="A174" t="str">
            <v>vct</v>
          </cell>
          <cell r="BL174" t="str">
            <v>1583</v>
          </cell>
        </row>
        <row r="175">
          <cell r="A175" t="str">
            <v>ven</v>
          </cell>
          <cell r="BL175" t="str">
            <v>2044</v>
          </cell>
        </row>
        <row r="176">
          <cell r="A176" t="str">
            <v>vnm</v>
          </cell>
          <cell r="BL176" t="str">
            <v>1821</v>
          </cell>
        </row>
        <row r="177">
          <cell r="A177" t="str">
            <v>vut</v>
          </cell>
          <cell r="BL177" t="str">
            <v>2000</v>
          </cell>
        </row>
        <row r="178">
          <cell r="A178" t="str">
            <v>wsm</v>
          </cell>
          <cell r="BL178" t="str">
            <v>2880</v>
          </cell>
        </row>
        <row r="179">
          <cell r="A179" t="str">
            <v>yem</v>
          </cell>
          <cell r="BL179" t="str">
            <v>167</v>
          </cell>
        </row>
        <row r="180">
          <cell r="A180" t="str">
            <v>zaf</v>
          </cell>
          <cell r="BL180" t="str">
            <v>495</v>
          </cell>
        </row>
        <row r="181">
          <cell r="A181" t="str">
            <v>zmb</v>
          </cell>
          <cell r="BL181" t="str">
            <v>1020</v>
          </cell>
        </row>
        <row r="182">
          <cell r="A182" t="str">
            <v>zwe</v>
          </cell>
          <cell r="BL182" t="str">
            <v>657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2_pcap_cons"/>
    </sheetNames>
    <sheetDataSet>
      <sheetData sheetId="0">
        <row r="2">
          <cell r="A2" t="str">
            <v>afg</v>
          </cell>
          <cell r="HQ2" t="str">
            <v>0.284</v>
          </cell>
        </row>
        <row r="3">
          <cell r="A3" t="str">
            <v>ago</v>
          </cell>
          <cell r="HQ3" t="str">
            <v>1.225</v>
          </cell>
        </row>
        <row r="4">
          <cell r="A4" t="str">
            <v>alb</v>
          </cell>
          <cell r="HQ4" t="str">
            <v>2.103</v>
          </cell>
        </row>
        <row r="5">
          <cell r="A5" t="str">
            <v>and</v>
          </cell>
          <cell r="HQ5" t="str">
            <v>5.909</v>
          </cell>
        </row>
        <row r="6">
          <cell r="A6" t="str">
            <v>are</v>
          </cell>
          <cell r="HQ6" t="str">
            <v>21.122</v>
          </cell>
        </row>
        <row r="7">
          <cell r="A7" t="str">
            <v>arg</v>
          </cell>
          <cell r="HQ7" t="str">
            <v>3.847</v>
          </cell>
        </row>
        <row r="8">
          <cell r="A8" t="str">
            <v>arm</v>
          </cell>
          <cell r="HQ8" t="str">
            <v>2.7</v>
          </cell>
        </row>
        <row r="9">
          <cell r="A9" t="str">
            <v>atg</v>
          </cell>
          <cell r="HQ9" t="str">
            <v>5.939</v>
          </cell>
        </row>
        <row r="10">
          <cell r="A10" t="str">
            <v>aus</v>
          </cell>
          <cell r="HQ10" t="str">
            <v>13.935</v>
          </cell>
        </row>
        <row r="11">
          <cell r="A11" t="str">
            <v>aut</v>
          </cell>
          <cell r="HQ11" t="str">
            <v>9.2</v>
          </cell>
        </row>
        <row r="12">
          <cell r="A12" t="str">
            <v>aze</v>
          </cell>
          <cell r="HQ12" t="str">
            <v>3.842</v>
          </cell>
        </row>
        <row r="13">
          <cell r="A13" t="str">
            <v>bdi</v>
          </cell>
          <cell r="HQ13" t="str">
            <v>0.051</v>
          </cell>
        </row>
        <row r="14">
          <cell r="A14" t="str">
            <v>bel</v>
          </cell>
          <cell r="HQ14" t="str">
            <v>16.928</v>
          </cell>
        </row>
        <row r="15">
          <cell r="A15" t="str">
            <v>ben</v>
          </cell>
          <cell r="HQ15" t="str">
            <v>0.71</v>
          </cell>
        </row>
        <row r="16">
          <cell r="A16" t="str">
            <v>bfa</v>
          </cell>
          <cell r="HQ16" t="str">
            <v>0.306</v>
          </cell>
        </row>
        <row r="17">
          <cell r="A17" t="str">
            <v>bgd</v>
          </cell>
          <cell r="HQ17" t="str">
            <v>0.844</v>
          </cell>
        </row>
        <row r="18">
          <cell r="A18" t="str">
            <v>bgr</v>
          </cell>
          <cell r="HQ18" t="str">
            <v>5.823</v>
          </cell>
        </row>
        <row r="19">
          <cell r="A19" t="str">
            <v>bhr</v>
          </cell>
          <cell r="HQ19" t="str">
            <v>16.037</v>
          </cell>
        </row>
        <row r="20">
          <cell r="A20" t="str">
            <v>bhs</v>
          </cell>
          <cell r="HQ20" t="str">
            <v>4.75</v>
          </cell>
        </row>
        <row r="21">
          <cell r="A21" t="str">
            <v>bih</v>
          </cell>
          <cell r="HQ21" t="str">
            <v>6.452</v>
          </cell>
        </row>
        <row r="22">
          <cell r="A22" t="str">
            <v>blr</v>
          </cell>
          <cell r="HQ22" t="str">
            <v>6.322</v>
          </cell>
        </row>
        <row r="23">
          <cell r="A23" t="str">
            <v>blz</v>
          </cell>
          <cell r="HQ23" t="str">
            <v>1.516</v>
          </cell>
        </row>
        <row r="24">
          <cell r="A24" t="str">
            <v>bol</v>
          </cell>
          <cell r="HQ24" t="str">
            <v>1.988</v>
          </cell>
        </row>
        <row r="25">
          <cell r="A25" t="str">
            <v>bra</v>
          </cell>
          <cell r="HQ25" t="str">
            <v>2.109</v>
          </cell>
        </row>
        <row r="26">
          <cell r="A26" t="str">
            <v>brb</v>
          </cell>
          <cell r="HQ26" t="str">
            <v>4.522</v>
          </cell>
        </row>
        <row r="27">
          <cell r="A27" t="str">
            <v>brn</v>
          </cell>
          <cell r="HQ27" t="str">
            <v>24.477</v>
          </cell>
        </row>
        <row r="28">
          <cell r="A28" t="str">
            <v>btn</v>
          </cell>
          <cell r="HQ28" t="str">
            <v>1.802</v>
          </cell>
        </row>
        <row r="29">
          <cell r="A29" t="str">
            <v>bwa</v>
          </cell>
          <cell r="HQ29" t="str">
            <v>5.104</v>
          </cell>
        </row>
        <row r="30">
          <cell r="A30" t="str">
            <v>caf</v>
          </cell>
          <cell r="HQ30" t="str">
            <v>0.071</v>
          </cell>
        </row>
        <row r="31">
          <cell r="A31" t="str">
            <v>can</v>
          </cell>
          <cell r="HQ31" t="str">
            <v>13.173</v>
          </cell>
        </row>
        <row r="32">
          <cell r="A32" t="str">
            <v>che</v>
          </cell>
          <cell r="HQ32" t="str">
            <v>11.644</v>
          </cell>
        </row>
        <row r="33">
          <cell r="A33" t="str">
            <v>chl</v>
          </cell>
          <cell r="HQ33" t="str">
            <v>4.544</v>
          </cell>
        </row>
        <row r="34">
          <cell r="A34" t="str">
            <v>chn</v>
          </cell>
          <cell r="HQ34" t="str">
            <v>7.379</v>
          </cell>
        </row>
        <row r="35">
          <cell r="A35" t="str">
            <v>civ</v>
          </cell>
          <cell r="HQ35" t="str">
            <v>0.596</v>
          </cell>
        </row>
        <row r="36">
          <cell r="A36" t="str">
            <v>cmr</v>
          </cell>
          <cell r="HQ36" t="str">
            <v>0.408</v>
          </cell>
        </row>
        <row r="37">
          <cell r="A37" t="str">
            <v>cod</v>
          </cell>
          <cell r="HQ37" t="str">
            <v>0.026</v>
          </cell>
        </row>
        <row r="38">
          <cell r="A38" t="str">
            <v>cog</v>
          </cell>
          <cell r="HQ38" t="str">
            <v>0.674</v>
          </cell>
        </row>
        <row r="39">
          <cell r="A39" t="str">
            <v>col</v>
          </cell>
          <cell r="HQ39" t="str">
            <v>2.389</v>
          </cell>
        </row>
        <row r="40">
          <cell r="A40" t="str">
            <v>com</v>
          </cell>
          <cell r="HQ40" t="str">
            <v>0.287</v>
          </cell>
        </row>
        <row r="41">
          <cell r="A41" t="str">
            <v>cpv</v>
          </cell>
          <cell r="HQ41" t="str">
            <v>1.263</v>
          </cell>
        </row>
        <row r="42">
          <cell r="A42" t="str">
            <v>cri</v>
          </cell>
          <cell r="HQ42" t="str">
            <v>2.383</v>
          </cell>
        </row>
        <row r="43">
          <cell r="A43" t="str">
            <v>cub</v>
          </cell>
          <cell r="HQ43" t="str">
            <v>2.551</v>
          </cell>
        </row>
        <row r="44">
          <cell r="A44" t="str">
            <v>cyp</v>
          </cell>
          <cell r="HQ44" t="str">
            <v>5.621</v>
          </cell>
        </row>
        <row r="45">
          <cell r="A45" t="str">
            <v>cze</v>
          </cell>
          <cell r="HQ45" t="str">
            <v>9.835</v>
          </cell>
        </row>
        <row r="46">
          <cell r="A46" t="str">
            <v>deu</v>
          </cell>
          <cell r="HQ46" t="str">
            <v>9.3</v>
          </cell>
        </row>
        <row r="47">
          <cell r="A47" t="str">
            <v>dji</v>
          </cell>
          <cell r="HQ47" t="str">
            <v>0.734</v>
          </cell>
        </row>
        <row r="48">
          <cell r="A48" t="str">
            <v>dma</v>
          </cell>
          <cell r="HQ48" t="str">
            <v>2.574</v>
          </cell>
        </row>
        <row r="49">
          <cell r="A49" t="str">
            <v>dnk</v>
          </cell>
          <cell r="HQ49" t="str">
            <v>7.685</v>
          </cell>
        </row>
        <row r="50">
          <cell r="A50" t="str">
            <v>dom</v>
          </cell>
          <cell r="HQ50" t="str">
            <v>3.108</v>
          </cell>
        </row>
        <row r="51">
          <cell r="A51" t="str">
            <v>dza</v>
          </cell>
          <cell r="HQ51" t="str">
            <v>3.88</v>
          </cell>
        </row>
        <row r="52">
          <cell r="A52" t="str">
            <v>ecu</v>
          </cell>
          <cell r="HQ52" t="str">
            <v>2.7</v>
          </cell>
        </row>
        <row r="53">
          <cell r="A53" t="str">
            <v>egy</v>
          </cell>
          <cell r="HQ53" t="str">
            <v>2.399</v>
          </cell>
        </row>
        <row r="54">
          <cell r="A54" t="str">
            <v>eri</v>
          </cell>
          <cell r="HQ54" t="str">
            <v>0.234</v>
          </cell>
        </row>
        <row r="55">
          <cell r="A55" t="str">
            <v>esp</v>
          </cell>
          <cell r="HQ55" t="str">
            <v>5.657</v>
          </cell>
        </row>
        <row r="56">
          <cell r="A56" t="str">
            <v>est</v>
          </cell>
          <cell r="HQ56" t="str">
            <v>10.373</v>
          </cell>
        </row>
        <row r="57">
          <cell r="A57" t="str">
            <v>eth</v>
          </cell>
          <cell r="HQ57" t="str">
            <v>0.188</v>
          </cell>
        </row>
        <row r="58">
          <cell r="A58" t="str">
            <v>fin</v>
          </cell>
          <cell r="HQ58" t="str">
            <v>8.761</v>
          </cell>
        </row>
        <row r="59">
          <cell r="A59" t="str">
            <v>fji</v>
          </cell>
          <cell r="HQ59" t="str">
            <v>2.603</v>
          </cell>
        </row>
        <row r="60">
          <cell r="A60" t="str">
            <v>fra</v>
          </cell>
          <cell r="HQ60" t="str">
            <v>6.073</v>
          </cell>
        </row>
        <row r="61">
          <cell r="A61" t="str">
            <v>fsm</v>
          </cell>
          <cell r="HQ61" t="str">
            <v>1.449</v>
          </cell>
        </row>
        <row r="62">
          <cell r="A62" t="str">
            <v>gab</v>
          </cell>
          <cell r="HQ62" t="str">
            <v>2.764</v>
          </cell>
        </row>
        <row r="63">
          <cell r="A63" t="str">
            <v>gbr</v>
          </cell>
          <cell r="HQ63" t="str">
            <v>6.926</v>
          </cell>
        </row>
        <row r="64">
          <cell r="A64" t="str">
            <v>geo</v>
          </cell>
          <cell r="HQ64" t="str">
            <v>3.769</v>
          </cell>
        </row>
        <row r="65">
          <cell r="A65" t="str">
            <v>gha</v>
          </cell>
          <cell r="HQ65" t="str">
            <v>0.773</v>
          </cell>
        </row>
        <row r="66">
          <cell r="A66" t="str">
            <v>gin</v>
          </cell>
          <cell r="HQ66" t="str">
            <v>0.472</v>
          </cell>
        </row>
        <row r="67">
          <cell r="A67" t="str">
            <v>gmb</v>
          </cell>
          <cell r="HQ67" t="str">
            <v>0.293</v>
          </cell>
        </row>
        <row r="68">
          <cell r="A68" t="str">
            <v>gnb</v>
          </cell>
          <cell r="HQ68" t="str">
            <v>0.198</v>
          </cell>
        </row>
        <row r="69">
          <cell r="A69" t="str">
            <v>gnq</v>
          </cell>
          <cell r="HQ69" t="str">
            <v>4.75</v>
          </cell>
        </row>
        <row r="70">
          <cell r="A70" t="str">
            <v>grc</v>
          </cell>
          <cell r="HQ70" t="str">
            <v>5.274</v>
          </cell>
        </row>
        <row r="71">
          <cell r="A71" t="str">
            <v>grd</v>
          </cell>
          <cell r="HQ71" t="str">
            <v>2.454</v>
          </cell>
        </row>
        <row r="72">
          <cell r="A72" t="str">
            <v>gtm</v>
          </cell>
          <cell r="HQ72" t="str">
            <v>1.34</v>
          </cell>
        </row>
        <row r="73">
          <cell r="A73" t="str">
            <v>guy</v>
          </cell>
          <cell r="HQ73" t="str">
            <v>3.153</v>
          </cell>
        </row>
        <row r="74">
          <cell r="A74" t="str">
            <v>hnd</v>
          </cell>
          <cell r="HQ74" t="str">
            <v>0.876</v>
          </cell>
        </row>
        <row r="75">
          <cell r="A75" t="str">
            <v>hrv</v>
          </cell>
          <cell r="HQ75" t="str">
            <v>5.944</v>
          </cell>
        </row>
        <row r="76">
          <cell r="A76" t="str">
            <v>hti</v>
          </cell>
          <cell r="HQ76" t="str">
            <v>0.272</v>
          </cell>
        </row>
        <row r="77">
          <cell r="A77" t="str">
            <v>hun</v>
          </cell>
          <cell r="HQ77" t="str">
            <v>6.41</v>
          </cell>
        </row>
        <row r="78">
          <cell r="A78" t="str">
            <v>idn</v>
          </cell>
          <cell r="HQ78" t="str">
            <v>2.361</v>
          </cell>
        </row>
        <row r="79">
          <cell r="A79" t="str">
            <v>ind</v>
          </cell>
          <cell r="HQ79" t="str">
            <v>1.874</v>
          </cell>
        </row>
        <row r="80">
          <cell r="A80" t="str">
            <v>irl</v>
          </cell>
          <cell r="HQ80" t="str">
            <v>8.59</v>
          </cell>
        </row>
        <row r="81">
          <cell r="A81" t="str">
            <v>irn</v>
          </cell>
          <cell r="HQ81" t="str">
            <v>7.673</v>
          </cell>
        </row>
        <row r="82">
          <cell r="A82" t="str">
            <v>irq</v>
          </cell>
          <cell r="HQ82" t="str">
            <v>5.756</v>
          </cell>
        </row>
        <row r="83">
          <cell r="A83" t="str">
            <v>isl</v>
          </cell>
          <cell r="HQ83" t="str">
            <v>9.991</v>
          </cell>
        </row>
        <row r="84">
          <cell r="A84" t="str">
            <v>isr</v>
          </cell>
          <cell r="HQ84" t="str">
            <v>8.598</v>
          </cell>
        </row>
        <row r="85">
          <cell r="A85" t="str">
            <v>ita</v>
          </cell>
          <cell r="HQ85" t="str">
            <v>6.925</v>
          </cell>
        </row>
        <row r="86">
          <cell r="A86" t="str">
            <v>jam</v>
          </cell>
          <cell r="HQ86" t="str">
            <v>2.434</v>
          </cell>
        </row>
        <row r="87">
          <cell r="A87" t="str">
            <v>jor</v>
          </cell>
          <cell r="HQ87" t="str">
            <v>2.896</v>
          </cell>
        </row>
        <row r="88">
          <cell r="A88" t="str">
            <v>jpn</v>
          </cell>
          <cell r="HQ88" t="str">
            <v>9.991</v>
          </cell>
        </row>
        <row r="89">
          <cell r="A89" t="str">
            <v>kaz</v>
          </cell>
          <cell r="HQ89" t="str">
            <v>9.658</v>
          </cell>
        </row>
        <row r="90">
          <cell r="A90" t="str">
            <v>ken</v>
          </cell>
          <cell r="HQ90" t="str">
            <v>0.562</v>
          </cell>
        </row>
        <row r="91">
          <cell r="A91" t="str">
            <v>kgz</v>
          </cell>
          <cell r="HQ91" t="str">
            <v>2.808</v>
          </cell>
        </row>
        <row r="92">
          <cell r="A92" t="str">
            <v>khm</v>
          </cell>
          <cell r="HQ92" t="str">
            <v>2.551</v>
          </cell>
        </row>
        <row r="93">
          <cell r="A93" t="str">
            <v>kir</v>
          </cell>
          <cell r="HQ93" t="str">
            <v>0.65</v>
          </cell>
        </row>
        <row r="94">
          <cell r="A94" t="str">
            <v>kna</v>
          </cell>
          <cell r="HQ94" t="str">
            <v>4.663</v>
          </cell>
        </row>
        <row r="95">
          <cell r="A95" t="str">
            <v>kor</v>
          </cell>
          <cell r="HQ95" t="str">
            <v>13.528</v>
          </cell>
        </row>
        <row r="96">
          <cell r="A96" t="str">
            <v>kwt</v>
          </cell>
          <cell r="HQ96" t="str">
            <v>24.014</v>
          </cell>
        </row>
        <row r="97">
          <cell r="A97" t="str">
            <v>lao</v>
          </cell>
          <cell r="HQ97" t="str">
            <v>3.3</v>
          </cell>
        </row>
        <row r="98">
          <cell r="A98" t="str">
            <v>lbn</v>
          </cell>
          <cell r="HQ98" t="str">
            <v>3.92</v>
          </cell>
        </row>
        <row r="99">
          <cell r="A99" t="str">
            <v>lbr</v>
          </cell>
          <cell r="HQ99" t="str">
            <v>0.354</v>
          </cell>
        </row>
        <row r="100">
          <cell r="A100" t="str">
            <v>lby</v>
          </cell>
          <cell r="HQ100" t="str">
            <v>8.842</v>
          </cell>
        </row>
        <row r="101">
          <cell r="A101" t="str">
            <v>lca</v>
          </cell>
          <cell r="HQ101" t="str">
            <v>2.337</v>
          </cell>
        </row>
        <row r="102">
          <cell r="A102" t="str">
            <v>lie</v>
          </cell>
          <cell r="HQ102" t="str">
            <v>3.892</v>
          </cell>
        </row>
        <row r="103">
          <cell r="A103" t="str">
            <v>lka</v>
          </cell>
          <cell r="HQ103" t="str">
            <v>1.758</v>
          </cell>
        </row>
        <row r="104">
          <cell r="A104" t="str">
            <v>lso</v>
          </cell>
          <cell r="HQ104" t="str">
            <v>1.379</v>
          </cell>
        </row>
        <row r="105">
          <cell r="A105" t="str">
            <v>ltu</v>
          </cell>
          <cell r="HQ105" t="str">
            <v>7.212</v>
          </cell>
        </row>
        <row r="106">
          <cell r="A106" t="str">
            <v>lux</v>
          </cell>
          <cell r="HQ106" t="str">
            <v>12.691</v>
          </cell>
        </row>
        <row r="107">
          <cell r="A107" t="str">
            <v>lva</v>
          </cell>
          <cell r="HQ107" t="str">
            <v>7.571</v>
          </cell>
        </row>
        <row r="108">
          <cell r="A108" t="str">
            <v>mar</v>
          </cell>
          <cell r="HQ108" t="str">
            <v>2.001</v>
          </cell>
        </row>
        <row r="109">
          <cell r="A109" t="str">
            <v>mda</v>
          </cell>
          <cell r="HQ109" t="str">
            <v>1.252</v>
          </cell>
        </row>
        <row r="110">
          <cell r="A110" t="str">
            <v>mdg</v>
          </cell>
          <cell r="HQ110" t="str">
            <v>0.209</v>
          </cell>
        </row>
        <row r="111">
          <cell r="A111" t="str">
            <v>mdv</v>
          </cell>
          <cell r="HQ111" t="str">
            <v>3.307</v>
          </cell>
        </row>
        <row r="112">
          <cell r="A112" t="str">
            <v>mex</v>
          </cell>
          <cell r="HQ112" t="str">
            <v>3.642</v>
          </cell>
        </row>
        <row r="113">
          <cell r="A113" t="str">
            <v>mhl</v>
          </cell>
          <cell r="HQ113" t="str">
            <v>2.793</v>
          </cell>
        </row>
        <row r="114">
          <cell r="A114" t="str">
            <v>mkd</v>
          </cell>
          <cell r="HQ114" t="str">
            <v>3.509</v>
          </cell>
        </row>
        <row r="115">
          <cell r="A115" t="str">
            <v>mli</v>
          </cell>
          <cell r="HQ115" t="str">
            <v>0.204</v>
          </cell>
        </row>
        <row r="116">
          <cell r="A116" t="str">
            <v>mlt</v>
          </cell>
          <cell r="HQ116" t="str">
            <v>17.338</v>
          </cell>
        </row>
        <row r="117">
          <cell r="A117" t="str">
            <v>mmr</v>
          </cell>
          <cell r="HQ117" t="str">
            <v>0.549</v>
          </cell>
        </row>
        <row r="118">
          <cell r="A118" t="str">
            <v>mne</v>
          </cell>
          <cell r="HQ118" t="str">
            <v>3.166</v>
          </cell>
        </row>
        <row r="119">
          <cell r="A119" t="str">
            <v>mng</v>
          </cell>
          <cell r="HQ119" t="str">
            <v>14.235</v>
          </cell>
        </row>
        <row r="120">
          <cell r="A120" t="str">
            <v>moz</v>
          </cell>
          <cell r="HQ120" t="str">
            <v>0.456</v>
          </cell>
        </row>
        <row r="121">
          <cell r="A121" t="str">
            <v>mrt</v>
          </cell>
          <cell r="HQ121" t="str">
            <v>0.661</v>
          </cell>
        </row>
        <row r="122">
          <cell r="A122" t="str">
            <v>mus</v>
          </cell>
          <cell r="HQ122" t="str">
            <v>4.881</v>
          </cell>
        </row>
        <row r="123">
          <cell r="A123" t="str">
            <v>mwi</v>
          </cell>
          <cell r="HQ123" t="str">
            <v>0.139</v>
          </cell>
        </row>
        <row r="124">
          <cell r="A124" t="str">
            <v>mys</v>
          </cell>
          <cell r="HQ124" t="str">
            <v>7.497</v>
          </cell>
        </row>
        <row r="125">
          <cell r="A125" t="str">
            <v>nam</v>
          </cell>
          <cell r="HQ125" t="str">
            <v>3.966</v>
          </cell>
        </row>
        <row r="126">
          <cell r="A126" t="str">
            <v>ner</v>
          </cell>
          <cell r="HQ126" t="str">
            <v>0.113</v>
          </cell>
        </row>
        <row r="127">
          <cell r="A127" t="str">
            <v>nga</v>
          </cell>
          <cell r="HQ127" t="str">
            <v>0.692</v>
          </cell>
        </row>
        <row r="128">
          <cell r="A128" t="str">
            <v>nic</v>
          </cell>
          <cell r="HQ128" t="str">
            <v>0.944</v>
          </cell>
        </row>
        <row r="129">
          <cell r="A129" t="str">
            <v>nld</v>
          </cell>
          <cell r="HQ129" t="str">
            <v>8.769</v>
          </cell>
        </row>
        <row r="130">
          <cell r="A130" t="str">
            <v>nor</v>
          </cell>
          <cell r="HQ130" t="str">
            <v>8.716</v>
          </cell>
        </row>
        <row r="131">
          <cell r="A131" t="str">
            <v>npl</v>
          </cell>
          <cell r="HQ131" t="str">
            <v>0.922</v>
          </cell>
        </row>
        <row r="132">
          <cell r="A132" t="str">
            <v>nru</v>
          </cell>
          <cell r="HQ132" t="str">
            <v>5.093</v>
          </cell>
        </row>
        <row r="133">
          <cell r="A133" t="str">
            <v>nzl</v>
          </cell>
          <cell r="HQ133" t="str">
            <v>7.507</v>
          </cell>
        </row>
        <row r="134">
          <cell r="A134" t="str">
            <v>omn</v>
          </cell>
          <cell r="HQ134" t="str">
            <v>14.91</v>
          </cell>
        </row>
        <row r="135">
          <cell r="A135" t="str">
            <v>pak</v>
          </cell>
          <cell r="HQ135" t="str">
            <v>1.097</v>
          </cell>
        </row>
        <row r="136">
          <cell r="A136" t="str">
            <v>pan</v>
          </cell>
          <cell r="HQ136" t="str">
            <v>4.022</v>
          </cell>
        </row>
        <row r="137">
          <cell r="A137" t="str">
            <v>per</v>
          </cell>
          <cell r="HQ137" t="str">
            <v>2.006</v>
          </cell>
        </row>
        <row r="138">
          <cell r="A138" t="str">
            <v>phl</v>
          </cell>
          <cell r="HQ138" t="str">
            <v>1.608</v>
          </cell>
        </row>
        <row r="139">
          <cell r="A139" t="str">
            <v>plw</v>
          </cell>
          <cell r="HQ139" t="str">
            <v>14.248</v>
          </cell>
        </row>
        <row r="140">
          <cell r="A140" t="str">
            <v>png</v>
          </cell>
          <cell r="HQ140" t="str">
            <v>0.986</v>
          </cell>
        </row>
        <row r="141">
          <cell r="A141" t="str">
            <v>pol</v>
          </cell>
          <cell r="HQ141" t="str">
            <v>8.012</v>
          </cell>
        </row>
        <row r="142">
          <cell r="A142" t="str">
            <v>prk</v>
          </cell>
          <cell r="HQ142" t="str">
            <v>1.324</v>
          </cell>
        </row>
        <row r="143">
          <cell r="A143" t="str">
            <v>prt</v>
          </cell>
          <cell r="HQ143" t="str">
            <v>4.603</v>
          </cell>
        </row>
        <row r="144">
          <cell r="A144" t="str">
            <v>pry</v>
          </cell>
          <cell r="HQ144" t="str">
            <v>2</v>
          </cell>
        </row>
        <row r="145">
          <cell r="A145" t="str">
            <v>pse</v>
          </cell>
          <cell r="HQ145" t="str">
            <v>0.733</v>
          </cell>
        </row>
        <row r="146">
          <cell r="A146" t="str">
            <v>qat</v>
          </cell>
          <cell r="HQ146" t="str">
            <v>27.259</v>
          </cell>
        </row>
        <row r="147">
          <cell r="A147" t="str">
            <v>rou</v>
          </cell>
          <cell r="HQ147" t="str">
            <v>4.363</v>
          </cell>
        </row>
        <row r="148">
          <cell r="A148" t="str">
            <v>rus</v>
          </cell>
          <cell r="HQ148" t="str">
            <v>9.968</v>
          </cell>
        </row>
        <row r="149">
          <cell r="A149" t="str">
            <v>rwa</v>
          </cell>
          <cell r="HQ149" t="str">
            <v>0.179</v>
          </cell>
        </row>
        <row r="150">
          <cell r="A150" t="str">
            <v>sau</v>
          </cell>
          <cell r="HQ150" t="str">
            <v>18.425</v>
          </cell>
        </row>
        <row r="151">
          <cell r="A151" t="str">
            <v>sdn</v>
          </cell>
          <cell r="HQ151" t="str">
            <v>0.55</v>
          </cell>
        </row>
        <row r="152">
          <cell r="A152" t="str">
            <v>sen</v>
          </cell>
          <cell r="HQ152" t="str">
            <v>1.018</v>
          </cell>
        </row>
        <row r="153">
          <cell r="A153" t="str">
            <v>sgp</v>
          </cell>
          <cell r="HQ153" t="str">
            <v>25.427</v>
          </cell>
        </row>
        <row r="154">
          <cell r="A154" t="str">
            <v>slb</v>
          </cell>
          <cell r="HQ154" t="str">
            <v>0.295</v>
          </cell>
        </row>
        <row r="155">
          <cell r="A155" t="str">
            <v>sle</v>
          </cell>
          <cell r="HQ155" t="str">
            <v>0.154</v>
          </cell>
        </row>
        <row r="156">
          <cell r="A156" t="str">
            <v>slv</v>
          </cell>
          <cell r="HQ156" t="str">
            <v>1.472</v>
          </cell>
        </row>
        <row r="157">
          <cell r="A157" t="str">
            <v>som</v>
          </cell>
          <cell r="HQ157" t="str">
            <v>0.051</v>
          </cell>
        </row>
        <row r="158">
          <cell r="A158" t="str">
            <v>srb</v>
          </cell>
          <cell r="HQ158" t="str">
            <v>5.108</v>
          </cell>
        </row>
        <row r="159">
          <cell r="A159" t="str">
            <v>ssd</v>
          </cell>
          <cell r="HQ159" t="str">
            <v>0.186</v>
          </cell>
        </row>
        <row r="160">
          <cell r="A160" t="str">
            <v>stp</v>
          </cell>
          <cell r="HQ160" t="str">
            <v>0.641</v>
          </cell>
        </row>
        <row r="161">
          <cell r="A161" t="str">
            <v>sur</v>
          </cell>
          <cell r="HQ161" t="str">
            <v>3.391</v>
          </cell>
        </row>
        <row r="162">
          <cell r="A162" t="str">
            <v>svk</v>
          </cell>
          <cell r="HQ162" t="str">
            <v>7.368</v>
          </cell>
        </row>
        <row r="163">
          <cell r="A163" t="str">
            <v>svn</v>
          </cell>
          <cell r="HQ163" t="str">
            <v>8.465</v>
          </cell>
        </row>
        <row r="164">
          <cell r="A164" t="str">
            <v>swe</v>
          </cell>
          <cell r="HQ164" t="str">
            <v>5.956</v>
          </cell>
        </row>
        <row r="165">
          <cell r="A165" t="str">
            <v>swz</v>
          </cell>
          <cell r="HQ165" t="str">
            <v>1.153</v>
          </cell>
        </row>
        <row r="166">
          <cell r="A166" t="str">
            <v>syc</v>
          </cell>
          <cell r="HQ166" t="str">
            <v>7.377</v>
          </cell>
        </row>
        <row r="167">
          <cell r="A167" t="str">
            <v>syr</v>
          </cell>
          <cell r="HQ167" t="str">
            <v>1.852</v>
          </cell>
        </row>
        <row r="168">
          <cell r="A168" t="str">
            <v>tcd</v>
          </cell>
          <cell r="HQ168" t="str">
            <v>0.072</v>
          </cell>
        </row>
        <row r="169">
          <cell r="A169" t="str">
            <v>tgo</v>
          </cell>
          <cell r="HQ169" t="str">
            <v>0.906</v>
          </cell>
        </row>
        <row r="170">
          <cell r="A170" t="str">
            <v>tha</v>
          </cell>
          <cell r="HQ170" t="str">
            <v>3.92</v>
          </cell>
        </row>
        <row r="171">
          <cell r="A171" t="str">
            <v>tjk</v>
          </cell>
          <cell r="HQ171" t="str">
            <v>1.47</v>
          </cell>
        </row>
        <row r="172">
          <cell r="A172" t="str">
            <v>tkm</v>
          </cell>
          <cell r="HQ172" t="str">
            <v>15.535</v>
          </cell>
        </row>
        <row r="173">
          <cell r="A173" t="str">
            <v>tls</v>
          </cell>
          <cell r="HQ173" t="str">
            <v>0.461</v>
          </cell>
        </row>
        <row r="174">
          <cell r="A174" t="str">
            <v>ton</v>
          </cell>
          <cell r="HQ174" t="str">
            <v>1.419</v>
          </cell>
        </row>
        <row r="175">
          <cell r="A175" t="str">
            <v>tto</v>
          </cell>
          <cell r="HQ175" t="str">
            <v>17.72</v>
          </cell>
        </row>
        <row r="176">
          <cell r="A176" t="str">
            <v>tun</v>
          </cell>
          <cell r="HQ176" t="str">
            <v>2.261</v>
          </cell>
        </row>
        <row r="177">
          <cell r="A177" t="str">
            <v>tur</v>
          </cell>
          <cell r="HQ177" t="str">
            <v>4.946</v>
          </cell>
        </row>
        <row r="178">
          <cell r="A178" t="str">
            <v>tuv</v>
          </cell>
          <cell r="HQ178" t="str">
            <v>1.091</v>
          </cell>
        </row>
        <row r="179">
          <cell r="A179" t="str">
            <v>tza</v>
          </cell>
          <cell r="HQ179" t="str">
            <v>0.311</v>
          </cell>
        </row>
        <row r="180">
          <cell r="A180" t="str">
            <v>uga</v>
          </cell>
          <cell r="HQ180" t="str">
            <v>0.183</v>
          </cell>
        </row>
        <row r="181">
          <cell r="A181" t="str">
            <v>ukr</v>
          </cell>
          <cell r="HQ181" t="str">
            <v>4.347</v>
          </cell>
        </row>
        <row r="182">
          <cell r="A182" t="str">
            <v>ury</v>
          </cell>
          <cell r="HQ182" t="str">
            <v>3.206</v>
          </cell>
        </row>
        <row r="183">
          <cell r="A183" t="str">
            <v>usa</v>
          </cell>
          <cell r="HQ183" t="str">
            <v>16.447</v>
          </cell>
        </row>
        <row r="184">
          <cell r="A184" t="str">
            <v>uzb</v>
          </cell>
          <cell r="HQ184" t="str">
            <v>2.804</v>
          </cell>
        </row>
        <row r="185">
          <cell r="A185" t="str">
            <v>vct</v>
          </cell>
          <cell r="HQ185" t="str">
            <v>2.048</v>
          </cell>
        </row>
        <row r="186">
          <cell r="A186" t="str">
            <v>ven</v>
          </cell>
          <cell r="HQ186" t="str">
            <v>0.673</v>
          </cell>
        </row>
        <row r="187">
          <cell r="A187" t="str">
            <v>vnm</v>
          </cell>
          <cell r="HQ187" t="str">
            <v>2.168</v>
          </cell>
        </row>
        <row r="188">
          <cell r="A188" t="str">
            <v>vut</v>
          </cell>
          <cell r="HQ188" t="str">
            <v>0.572</v>
          </cell>
        </row>
        <row r="189">
          <cell r="A189" t="str">
            <v>wsm</v>
          </cell>
          <cell r="HQ189" t="str">
            <v>1.429</v>
          </cell>
        </row>
        <row r="190">
          <cell r="A190" t="str">
            <v>yem</v>
          </cell>
          <cell r="HQ190" t="str">
            <v>0.395</v>
          </cell>
        </row>
        <row r="191">
          <cell r="A191" t="str">
            <v>zaf</v>
          </cell>
          <cell r="HQ191" t="str">
            <v>5.179</v>
          </cell>
        </row>
        <row r="192">
          <cell r="A192" t="str">
            <v>zmb</v>
          </cell>
          <cell r="HQ192" t="str">
            <v>0.424</v>
          </cell>
        </row>
        <row r="193">
          <cell r="A193" t="str">
            <v>zwe</v>
          </cell>
          <cell r="HQ193" t="str">
            <v>0.804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mary_forest_area_ha"/>
    </sheetNames>
    <sheetDataSet>
      <sheetData sheetId="0">
        <row r="2">
          <cell r="A2" t="str">
            <v>afg</v>
          </cell>
        </row>
        <row r="3">
          <cell r="A3" t="str">
            <v>ago</v>
          </cell>
        </row>
        <row r="4">
          <cell r="A4" t="str">
            <v>alb</v>
          </cell>
          <cell r="AD4" t="str">
            <v>84800</v>
          </cell>
        </row>
        <row r="5">
          <cell r="A5" t="str">
            <v>and</v>
          </cell>
        </row>
        <row r="6">
          <cell r="A6" t="str">
            <v>are</v>
          </cell>
        </row>
        <row r="7">
          <cell r="A7" t="str">
            <v>arg</v>
          </cell>
          <cell r="AD7" t="str">
            <v>1738000</v>
          </cell>
        </row>
        <row r="8">
          <cell r="A8" t="str">
            <v>arm</v>
          </cell>
          <cell r="AD8" t="str">
            <v>17000</v>
          </cell>
        </row>
        <row r="9">
          <cell r="A9" t="str">
            <v>atg</v>
          </cell>
        </row>
        <row r="10">
          <cell r="A10" t="str">
            <v>aus</v>
          </cell>
          <cell r="AD10" t="str">
            <v>5039000</v>
          </cell>
        </row>
        <row r="11">
          <cell r="A11" t="str">
            <v>aut</v>
          </cell>
          <cell r="AD11" t="str">
            <v>114000</v>
          </cell>
        </row>
        <row r="12">
          <cell r="A12" t="str">
            <v>aze</v>
          </cell>
        </row>
        <row r="13">
          <cell r="A13" t="str">
            <v>bdi</v>
          </cell>
          <cell r="AD13" t="str">
            <v>40000</v>
          </cell>
        </row>
        <row r="14">
          <cell r="A14" t="str">
            <v>bel</v>
          </cell>
        </row>
        <row r="15">
          <cell r="A15" t="str">
            <v>ben</v>
          </cell>
        </row>
        <row r="16">
          <cell r="A16" t="str">
            <v>bfa</v>
          </cell>
        </row>
        <row r="17">
          <cell r="A17" t="str">
            <v>bgd</v>
          </cell>
          <cell r="AD17" t="str">
            <v>411000</v>
          </cell>
        </row>
        <row r="18">
          <cell r="A18" t="str">
            <v>bgr</v>
          </cell>
          <cell r="AD18" t="str">
            <v>597000</v>
          </cell>
        </row>
        <row r="19">
          <cell r="A19" t="str">
            <v>bhr</v>
          </cell>
        </row>
        <row r="20">
          <cell r="A20" t="str">
            <v>bhs</v>
          </cell>
        </row>
        <row r="21">
          <cell r="A21" t="str">
            <v>bih</v>
          </cell>
          <cell r="AD21" t="str">
            <v>2000</v>
          </cell>
        </row>
        <row r="22">
          <cell r="A22" t="str">
            <v>blr</v>
          </cell>
          <cell r="AD22" t="str">
            <v>400000</v>
          </cell>
        </row>
        <row r="23">
          <cell r="A23" t="str">
            <v>blz</v>
          </cell>
          <cell r="AD23" t="str">
            <v>599000</v>
          </cell>
        </row>
        <row r="24">
          <cell r="A24" t="str">
            <v>bol</v>
          </cell>
          <cell r="AD24" t="str">
            <v>36164000</v>
          </cell>
        </row>
        <row r="25">
          <cell r="A25" t="str">
            <v>bra</v>
          </cell>
          <cell r="AD25" t="str">
            <v>202691000</v>
          </cell>
        </row>
        <row r="26">
          <cell r="A26" t="str">
            <v>brb</v>
          </cell>
          <cell r="AD26" t="str">
            <v>3</v>
          </cell>
        </row>
        <row r="27">
          <cell r="A27" t="str">
            <v>brn</v>
          </cell>
          <cell r="AD27" t="str">
            <v>263000</v>
          </cell>
        </row>
        <row r="28">
          <cell r="A28" t="str">
            <v>btn</v>
          </cell>
          <cell r="AD28" t="str">
            <v>413000</v>
          </cell>
        </row>
        <row r="29">
          <cell r="A29" t="str">
            <v>bwa</v>
          </cell>
        </row>
        <row r="30">
          <cell r="A30" t="str">
            <v>caf</v>
          </cell>
          <cell r="AD30" t="str">
            <v>1988000</v>
          </cell>
        </row>
        <row r="31">
          <cell r="A31" t="str">
            <v>can</v>
          </cell>
          <cell r="AD31" t="str">
            <v>205924000</v>
          </cell>
        </row>
        <row r="32">
          <cell r="A32" t="str">
            <v>che</v>
          </cell>
          <cell r="AD32" t="str">
            <v>40000</v>
          </cell>
        </row>
        <row r="33">
          <cell r="A33" t="str">
            <v>chl</v>
          </cell>
          <cell r="AD33" t="str">
            <v>5355000</v>
          </cell>
        </row>
        <row r="34">
          <cell r="A34" t="str">
            <v>chn</v>
          </cell>
          <cell r="AD34" t="str">
            <v>11632000</v>
          </cell>
        </row>
        <row r="35">
          <cell r="A35" t="str">
            <v>civ</v>
          </cell>
          <cell r="AD35" t="str">
            <v>625000</v>
          </cell>
        </row>
        <row r="36">
          <cell r="A36" t="str">
            <v>cmr</v>
          </cell>
        </row>
        <row r="37">
          <cell r="A37" t="str">
            <v>cod</v>
          </cell>
          <cell r="AD37" t="str">
            <v>102686000</v>
          </cell>
        </row>
        <row r="38">
          <cell r="A38" t="str">
            <v>cog</v>
          </cell>
          <cell r="AD38" t="str">
            <v>7407000</v>
          </cell>
        </row>
        <row r="39">
          <cell r="A39" t="str">
            <v>col</v>
          </cell>
        </row>
        <row r="40">
          <cell r="A40" t="str">
            <v>com</v>
          </cell>
          <cell r="AD40" t="str">
            <v>8000</v>
          </cell>
        </row>
        <row r="41">
          <cell r="A41" t="str">
            <v>cpv</v>
          </cell>
        </row>
        <row r="42">
          <cell r="A42" t="str">
            <v>cri</v>
          </cell>
          <cell r="AD42" t="str">
            <v>1814400</v>
          </cell>
        </row>
        <row r="43">
          <cell r="A43" t="str">
            <v>cub</v>
          </cell>
        </row>
        <row r="44">
          <cell r="A44" t="str">
            <v>cyp</v>
          </cell>
          <cell r="AD44" t="str">
            <v>13241</v>
          </cell>
        </row>
        <row r="45">
          <cell r="A45" t="str">
            <v>cze</v>
          </cell>
          <cell r="AD45" t="str">
            <v>10000</v>
          </cell>
        </row>
        <row r="46">
          <cell r="A46" t="str">
            <v>deu</v>
          </cell>
        </row>
        <row r="47">
          <cell r="A47" t="str">
            <v>dji</v>
          </cell>
        </row>
        <row r="48">
          <cell r="A48" t="str">
            <v>dma</v>
          </cell>
          <cell r="AD48" t="str">
            <v>26300</v>
          </cell>
        </row>
        <row r="49">
          <cell r="A49" t="str">
            <v>dnk</v>
          </cell>
          <cell r="AD49" t="str">
            <v>34000</v>
          </cell>
        </row>
        <row r="50">
          <cell r="A50" t="str">
            <v>dom</v>
          </cell>
        </row>
        <row r="51">
          <cell r="A51" t="str">
            <v>dza</v>
          </cell>
        </row>
        <row r="52">
          <cell r="A52" t="str">
            <v>ecu</v>
          </cell>
          <cell r="AD52" t="str">
            <v>12467299</v>
          </cell>
        </row>
        <row r="53">
          <cell r="A53" t="str">
            <v>egy</v>
          </cell>
        </row>
        <row r="54">
          <cell r="A54" t="str">
            <v>eri</v>
          </cell>
        </row>
        <row r="55">
          <cell r="A55" t="str">
            <v>esp</v>
          </cell>
        </row>
        <row r="56">
          <cell r="A56" t="str">
            <v>est</v>
          </cell>
          <cell r="AD56" t="str">
            <v>58000</v>
          </cell>
        </row>
        <row r="57">
          <cell r="A57" t="str">
            <v>eth</v>
          </cell>
        </row>
        <row r="58">
          <cell r="A58" t="str">
            <v>fin</v>
          </cell>
          <cell r="AD58" t="str">
            <v>230207</v>
          </cell>
        </row>
        <row r="59">
          <cell r="A59" t="str">
            <v>fji</v>
          </cell>
          <cell r="AD59" t="str">
            <v>411412</v>
          </cell>
        </row>
        <row r="60">
          <cell r="A60" t="str">
            <v>fra</v>
          </cell>
        </row>
        <row r="61">
          <cell r="A61" t="str">
            <v>fsm</v>
          </cell>
          <cell r="AD61" t="str">
            <v>48367</v>
          </cell>
        </row>
        <row r="62">
          <cell r="A62" t="str">
            <v>gab</v>
          </cell>
          <cell r="AD62" t="str">
            <v>12804000</v>
          </cell>
        </row>
        <row r="63">
          <cell r="A63" t="str">
            <v>gbr</v>
          </cell>
        </row>
        <row r="64">
          <cell r="A64" t="str">
            <v>geo</v>
          </cell>
          <cell r="AD64" t="str">
            <v>500000</v>
          </cell>
        </row>
        <row r="65">
          <cell r="A65" t="str">
            <v>gha</v>
          </cell>
          <cell r="AD65" t="str">
            <v>395000</v>
          </cell>
        </row>
        <row r="66">
          <cell r="A66" t="str">
            <v>gin</v>
          </cell>
          <cell r="AD66" t="str">
            <v>63000</v>
          </cell>
        </row>
        <row r="67">
          <cell r="A67" t="str">
            <v>gmb</v>
          </cell>
          <cell r="AD67" t="str">
            <v>800</v>
          </cell>
        </row>
        <row r="68">
          <cell r="A68" t="str">
            <v>gnb</v>
          </cell>
        </row>
        <row r="69">
          <cell r="A69" t="str">
            <v>gnq</v>
          </cell>
        </row>
        <row r="70">
          <cell r="A70" t="str">
            <v>grc</v>
          </cell>
        </row>
        <row r="71">
          <cell r="A71" t="str">
            <v>grd</v>
          </cell>
          <cell r="AD71" t="str">
            <v>2320</v>
          </cell>
        </row>
        <row r="72">
          <cell r="A72" t="str">
            <v>gtm</v>
          </cell>
          <cell r="AD72" t="str">
            <v>1334000</v>
          </cell>
        </row>
        <row r="73">
          <cell r="A73" t="str">
            <v>guy</v>
          </cell>
          <cell r="AD73" t="str">
            <v>6477000</v>
          </cell>
        </row>
        <row r="74">
          <cell r="A74" t="str">
            <v>hnd</v>
          </cell>
          <cell r="AD74" t="str">
            <v>457000</v>
          </cell>
        </row>
        <row r="75">
          <cell r="A75" t="str">
            <v>hrv</v>
          </cell>
          <cell r="AD75" t="str">
            <v>7000</v>
          </cell>
        </row>
        <row r="76">
          <cell r="A76" t="str">
            <v>hti</v>
          </cell>
        </row>
        <row r="77">
          <cell r="A77" t="str">
            <v>hun</v>
          </cell>
        </row>
        <row r="78">
          <cell r="A78" t="str">
            <v>idn</v>
          </cell>
          <cell r="AD78" t="str">
            <v>46024000</v>
          </cell>
        </row>
        <row r="79">
          <cell r="A79" t="str">
            <v>ind</v>
          </cell>
          <cell r="AD79" t="str">
            <v>15701000</v>
          </cell>
        </row>
        <row r="80">
          <cell r="A80" t="str">
            <v>irl</v>
          </cell>
        </row>
        <row r="81">
          <cell r="A81" t="str">
            <v>irn</v>
          </cell>
          <cell r="AD81" t="str">
            <v>200000</v>
          </cell>
        </row>
        <row r="82">
          <cell r="A82" t="str">
            <v>irq</v>
          </cell>
        </row>
        <row r="83">
          <cell r="A83" t="str">
            <v>isl</v>
          </cell>
        </row>
        <row r="84">
          <cell r="A84" t="str">
            <v>isr</v>
          </cell>
        </row>
        <row r="85">
          <cell r="A85" t="str">
            <v>ita</v>
          </cell>
          <cell r="AD85" t="str">
            <v>93000</v>
          </cell>
        </row>
        <row r="86">
          <cell r="A86" t="str">
            <v>jam</v>
          </cell>
          <cell r="AD86" t="str">
            <v>87500</v>
          </cell>
        </row>
        <row r="87">
          <cell r="A87" t="str">
            <v>jor</v>
          </cell>
        </row>
        <row r="88">
          <cell r="A88" t="str">
            <v>jpn</v>
          </cell>
          <cell r="AD88" t="str">
            <v>4905000</v>
          </cell>
        </row>
        <row r="89">
          <cell r="A89" t="str">
            <v>kaz</v>
          </cell>
        </row>
        <row r="90">
          <cell r="A90" t="str">
            <v>ken</v>
          </cell>
        </row>
        <row r="91">
          <cell r="A91" t="str">
            <v>kgz</v>
          </cell>
          <cell r="AD91" t="str">
            <v>630000</v>
          </cell>
        </row>
        <row r="92">
          <cell r="A92" t="str">
            <v>khm</v>
          </cell>
          <cell r="AD92" t="str">
            <v>322000</v>
          </cell>
        </row>
        <row r="93">
          <cell r="A93" t="str">
            <v>kir</v>
          </cell>
        </row>
        <row r="94">
          <cell r="A94" t="str">
            <v>kna</v>
          </cell>
        </row>
        <row r="95">
          <cell r="A95" t="str">
            <v>kor</v>
          </cell>
          <cell r="AD95" t="str">
            <v>3460000</v>
          </cell>
        </row>
        <row r="96">
          <cell r="A96" t="str">
            <v>kwt</v>
          </cell>
        </row>
        <row r="97">
          <cell r="A97" t="str">
            <v>lao</v>
          </cell>
          <cell r="AD97" t="str">
            <v>1193730</v>
          </cell>
        </row>
        <row r="98">
          <cell r="A98" t="str">
            <v>lbn</v>
          </cell>
        </row>
        <row r="99">
          <cell r="A99" t="str">
            <v>lbr</v>
          </cell>
          <cell r="AD99" t="str">
            <v>175000</v>
          </cell>
        </row>
        <row r="100">
          <cell r="A100" t="str">
            <v>lby</v>
          </cell>
        </row>
        <row r="101">
          <cell r="A101" t="str">
            <v>lca</v>
          </cell>
          <cell r="AD101" t="str">
            <v>17150</v>
          </cell>
        </row>
        <row r="102">
          <cell r="A102" t="str">
            <v>lie</v>
          </cell>
          <cell r="AD102" t="str">
            <v>1500</v>
          </cell>
        </row>
        <row r="103">
          <cell r="A103" t="str">
            <v>lka</v>
          </cell>
          <cell r="AD103" t="str">
            <v>167000</v>
          </cell>
        </row>
        <row r="104">
          <cell r="A104" t="str">
            <v>lso</v>
          </cell>
        </row>
        <row r="105">
          <cell r="A105" t="str">
            <v>ltu</v>
          </cell>
          <cell r="AD105" t="str">
            <v>26000</v>
          </cell>
        </row>
        <row r="106">
          <cell r="A106" t="str">
            <v>lux</v>
          </cell>
        </row>
        <row r="107">
          <cell r="A107" t="str">
            <v>lva</v>
          </cell>
          <cell r="AD107" t="str">
            <v>16000</v>
          </cell>
        </row>
        <row r="108">
          <cell r="A108" t="str">
            <v>mar</v>
          </cell>
        </row>
        <row r="109">
          <cell r="A109" t="str">
            <v>mda</v>
          </cell>
        </row>
        <row r="110">
          <cell r="A110" t="str">
            <v>mdg</v>
          </cell>
          <cell r="AD110" t="str">
            <v>2993000</v>
          </cell>
        </row>
        <row r="111">
          <cell r="A111" t="str">
            <v>mdv</v>
          </cell>
        </row>
        <row r="112">
          <cell r="A112" t="str">
            <v>mex</v>
          </cell>
          <cell r="AD112" t="str">
            <v>33056000</v>
          </cell>
        </row>
        <row r="113">
          <cell r="A113" t="str">
            <v>mhl</v>
          </cell>
          <cell r="AD113" t="str">
            <v>8186</v>
          </cell>
        </row>
        <row r="114">
          <cell r="A114" t="str">
            <v>mkd</v>
          </cell>
        </row>
        <row r="115">
          <cell r="A115" t="str">
            <v>mli</v>
          </cell>
        </row>
        <row r="116">
          <cell r="A116" t="str">
            <v>mlt</v>
          </cell>
        </row>
        <row r="117">
          <cell r="A117" t="str">
            <v>mmr</v>
          </cell>
          <cell r="AD117" t="str">
            <v>3192000</v>
          </cell>
        </row>
        <row r="118">
          <cell r="A118" t="str">
            <v>mne</v>
          </cell>
          <cell r="AD118" t="str">
            <v>109000</v>
          </cell>
        </row>
        <row r="119">
          <cell r="A119" t="str">
            <v>mng</v>
          </cell>
          <cell r="AD119" t="str">
            <v>12551600</v>
          </cell>
        </row>
        <row r="120">
          <cell r="A120" t="str">
            <v>moz</v>
          </cell>
        </row>
        <row r="121">
          <cell r="A121" t="str">
            <v>mrt</v>
          </cell>
        </row>
        <row r="122">
          <cell r="A122" t="str">
            <v>mus</v>
          </cell>
        </row>
        <row r="123">
          <cell r="A123" t="str">
            <v>mwi</v>
          </cell>
          <cell r="AD123" t="str">
            <v>845000</v>
          </cell>
        </row>
        <row r="124">
          <cell r="A124" t="str">
            <v>mys</v>
          </cell>
          <cell r="AD124" t="str">
            <v>5041000</v>
          </cell>
        </row>
        <row r="125">
          <cell r="A125" t="str">
            <v>nam</v>
          </cell>
        </row>
        <row r="126">
          <cell r="A126" t="str">
            <v>ner</v>
          </cell>
          <cell r="AD126" t="str">
            <v>220000</v>
          </cell>
        </row>
        <row r="127">
          <cell r="A127" t="str">
            <v>nga</v>
          </cell>
          <cell r="AD127" t="str">
            <v>20000</v>
          </cell>
        </row>
        <row r="128">
          <cell r="A128" t="str">
            <v>nic</v>
          </cell>
          <cell r="AD128" t="str">
            <v>1234000</v>
          </cell>
        </row>
        <row r="129">
          <cell r="A129" t="str">
            <v>nld</v>
          </cell>
        </row>
        <row r="130">
          <cell r="A130" t="str">
            <v>nor</v>
          </cell>
          <cell r="AD130" t="str">
            <v>160000</v>
          </cell>
        </row>
        <row r="131">
          <cell r="A131" t="str">
            <v>npl</v>
          </cell>
          <cell r="AD131" t="str">
            <v>526000</v>
          </cell>
        </row>
        <row r="132">
          <cell r="A132" t="str">
            <v>nru</v>
          </cell>
        </row>
        <row r="133">
          <cell r="A133" t="str">
            <v>nzl</v>
          </cell>
          <cell r="AD133" t="str">
            <v>2160000</v>
          </cell>
        </row>
        <row r="134">
          <cell r="A134" t="str">
            <v>omn</v>
          </cell>
        </row>
        <row r="135">
          <cell r="A135" t="str">
            <v>pak</v>
          </cell>
        </row>
        <row r="136">
          <cell r="A136" t="str">
            <v>pan</v>
          </cell>
        </row>
        <row r="137">
          <cell r="A137" t="str">
            <v>per</v>
          </cell>
          <cell r="AD137" t="str">
            <v>65790000</v>
          </cell>
        </row>
        <row r="138">
          <cell r="A138" t="str">
            <v>phl</v>
          </cell>
          <cell r="AD138" t="str">
            <v>861000</v>
          </cell>
        </row>
        <row r="139">
          <cell r="A139" t="str">
            <v>plw</v>
          </cell>
        </row>
        <row r="140">
          <cell r="A140" t="str">
            <v>png</v>
          </cell>
          <cell r="AD140" t="str">
            <v>17599000</v>
          </cell>
        </row>
        <row r="141">
          <cell r="A141" t="str">
            <v>pol</v>
          </cell>
          <cell r="AD141" t="str">
            <v>59000</v>
          </cell>
        </row>
        <row r="142">
          <cell r="A142" t="str">
            <v>prk</v>
          </cell>
          <cell r="AD142" t="str">
            <v>701000</v>
          </cell>
        </row>
        <row r="143">
          <cell r="A143" t="str">
            <v>prt</v>
          </cell>
          <cell r="AD143" t="str">
            <v>24100</v>
          </cell>
        </row>
        <row r="144">
          <cell r="A144" t="str">
            <v>pry</v>
          </cell>
          <cell r="AD144" t="str">
            <v>1884000</v>
          </cell>
        </row>
        <row r="145">
          <cell r="A145" t="str">
            <v>pse</v>
          </cell>
        </row>
        <row r="146">
          <cell r="A146" t="str">
            <v>qat</v>
          </cell>
        </row>
        <row r="147">
          <cell r="A147" t="str">
            <v>rou</v>
          </cell>
          <cell r="AD147" t="str">
            <v>283000</v>
          </cell>
        </row>
        <row r="148">
          <cell r="A148" t="str">
            <v>rus</v>
          </cell>
          <cell r="AD148" t="str">
            <v>272718000</v>
          </cell>
        </row>
        <row r="149">
          <cell r="A149" t="str">
            <v>rwa</v>
          </cell>
          <cell r="AD149" t="str">
            <v>7000</v>
          </cell>
        </row>
        <row r="150">
          <cell r="A150" t="str">
            <v>sdn</v>
          </cell>
          <cell r="AD150" t="str">
            <v>1344696</v>
          </cell>
        </row>
        <row r="151">
          <cell r="A151" t="str">
            <v>sen</v>
          </cell>
          <cell r="AD151" t="str">
            <v>1508000</v>
          </cell>
        </row>
        <row r="152">
          <cell r="A152" t="str">
            <v>sgp</v>
          </cell>
          <cell r="AD152" t="str">
            <v>210</v>
          </cell>
        </row>
        <row r="153">
          <cell r="A153" t="str">
            <v>slb</v>
          </cell>
          <cell r="AD153" t="str">
            <v>1105400</v>
          </cell>
        </row>
        <row r="154">
          <cell r="A154" t="str">
            <v>sle</v>
          </cell>
          <cell r="AD154" t="str">
            <v>85200</v>
          </cell>
        </row>
        <row r="155">
          <cell r="A155" t="str">
            <v>slv</v>
          </cell>
          <cell r="AD155" t="str">
            <v>4800</v>
          </cell>
        </row>
        <row r="156">
          <cell r="A156" t="str">
            <v>smr</v>
          </cell>
        </row>
        <row r="157">
          <cell r="A157" t="str">
            <v>som</v>
          </cell>
        </row>
        <row r="158">
          <cell r="A158" t="str">
            <v>srb</v>
          </cell>
          <cell r="AD158" t="str">
            <v>1000</v>
          </cell>
        </row>
        <row r="159">
          <cell r="A159" t="str">
            <v>ssd</v>
          </cell>
        </row>
        <row r="160">
          <cell r="A160" t="str">
            <v>stp</v>
          </cell>
          <cell r="AD160" t="str">
            <v>27000</v>
          </cell>
        </row>
        <row r="161">
          <cell r="A161" t="str">
            <v>sur</v>
          </cell>
          <cell r="AD161" t="str">
            <v>14019000</v>
          </cell>
        </row>
        <row r="162">
          <cell r="A162" t="str">
            <v>svk</v>
          </cell>
          <cell r="AD162" t="str">
            <v>24000</v>
          </cell>
        </row>
        <row r="163">
          <cell r="A163" t="str">
            <v>svn</v>
          </cell>
          <cell r="AD163" t="str">
            <v>49000</v>
          </cell>
        </row>
        <row r="164">
          <cell r="A164" t="str">
            <v>swe</v>
          </cell>
          <cell r="AD164" t="str">
            <v>2417000</v>
          </cell>
        </row>
        <row r="165">
          <cell r="A165" t="str">
            <v>swz</v>
          </cell>
        </row>
        <row r="166">
          <cell r="A166" t="str">
            <v>syc</v>
          </cell>
          <cell r="AD166" t="str">
            <v>2000</v>
          </cell>
        </row>
        <row r="167">
          <cell r="A167" t="str">
            <v>syr</v>
          </cell>
        </row>
        <row r="168">
          <cell r="A168" t="str">
            <v>tcd</v>
          </cell>
        </row>
        <row r="169">
          <cell r="A169" t="str">
            <v>tgo</v>
          </cell>
        </row>
        <row r="170">
          <cell r="A170" t="str">
            <v>tha</v>
          </cell>
          <cell r="AD170" t="str">
            <v>6726000</v>
          </cell>
        </row>
        <row r="171">
          <cell r="A171" t="str">
            <v>tjk</v>
          </cell>
          <cell r="AD171" t="str">
            <v>297000</v>
          </cell>
        </row>
        <row r="172">
          <cell r="A172" t="str">
            <v>tkm</v>
          </cell>
          <cell r="AD172" t="str">
            <v>104000</v>
          </cell>
        </row>
        <row r="173">
          <cell r="A173" t="str">
            <v>tls</v>
          </cell>
        </row>
        <row r="174">
          <cell r="A174" t="str">
            <v>ton</v>
          </cell>
          <cell r="AD174" t="str">
            <v>4000</v>
          </cell>
        </row>
        <row r="175">
          <cell r="A175" t="str">
            <v>tto</v>
          </cell>
          <cell r="AD175" t="str">
            <v>62400</v>
          </cell>
        </row>
        <row r="176">
          <cell r="A176" t="str">
            <v>tun</v>
          </cell>
        </row>
        <row r="177">
          <cell r="A177" t="str">
            <v>tur</v>
          </cell>
          <cell r="AD177" t="str">
            <v>913000</v>
          </cell>
        </row>
        <row r="178">
          <cell r="A178" t="str">
            <v>tuv</v>
          </cell>
        </row>
        <row r="179">
          <cell r="A179" t="str">
            <v>tza</v>
          </cell>
        </row>
        <row r="180">
          <cell r="A180" t="str">
            <v>uga</v>
          </cell>
        </row>
        <row r="181">
          <cell r="A181" t="str">
            <v>ukr</v>
          </cell>
          <cell r="AD181" t="str">
            <v>59000</v>
          </cell>
        </row>
        <row r="182">
          <cell r="A182" t="str">
            <v>ury</v>
          </cell>
          <cell r="AD182" t="str">
            <v>313000</v>
          </cell>
        </row>
        <row r="183">
          <cell r="A183" t="str">
            <v>usa</v>
          </cell>
          <cell r="AD183" t="str">
            <v>75300000</v>
          </cell>
        </row>
        <row r="184">
          <cell r="A184" t="str">
            <v>uzb</v>
          </cell>
          <cell r="AD184" t="str">
            <v>73000</v>
          </cell>
        </row>
        <row r="185">
          <cell r="A185" t="str">
            <v>vct</v>
          </cell>
        </row>
        <row r="186">
          <cell r="A186" t="str">
            <v>ven</v>
          </cell>
          <cell r="AD186" t="str">
            <v>45746000</v>
          </cell>
        </row>
        <row r="187">
          <cell r="A187" t="str">
            <v>vnm</v>
          </cell>
          <cell r="AD187" t="str">
            <v>83000</v>
          </cell>
        </row>
        <row r="188">
          <cell r="A188" t="str">
            <v>vut</v>
          </cell>
        </row>
        <row r="189">
          <cell r="A189" t="str">
            <v>wsm</v>
          </cell>
          <cell r="AD189" t="str">
            <v>20</v>
          </cell>
        </row>
        <row r="190">
          <cell r="A190" t="str">
            <v>yem</v>
          </cell>
        </row>
        <row r="191">
          <cell r="A191" t="str">
            <v>zaf</v>
          </cell>
          <cell r="AD191" t="str">
            <v>947000</v>
          </cell>
        </row>
        <row r="192">
          <cell r="A192" t="str">
            <v>zmb</v>
          </cell>
        </row>
        <row r="193">
          <cell r="A193" t="str">
            <v>zwe</v>
          </cell>
          <cell r="AD193" t="str">
            <v>801000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_mam_thrd_no"/>
    </sheetNames>
    <sheetDataSet>
      <sheetData sheetId="0">
        <row r="2">
          <cell r="A2" t="str">
            <v>afg</v>
          </cell>
          <cell r="G2" t="str">
            <v>12</v>
          </cell>
        </row>
        <row r="3">
          <cell r="A3" t="str">
            <v>ago</v>
          </cell>
          <cell r="G3" t="str">
            <v>24</v>
          </cell>
        </row>
        <row r="4">
          <cell r="A4" t="str">
            <v>alb</v>
          </cell>
          <cell r="G4" t="str">
            <v>4</v>
          </cell>
        </row>
        <row r="5">
          <cell r="A5" t="str">
            <v>and</v>
          </cell>
          <cell r="G5" t="str">
            <v>2</v>
          </cell>
        </row>
        <row r="6">
          <cell r="A6" t="str">
            <v>are</v>
          </cell>
          <cell r="G6" t="str">
            <v>8</v>
          </cell>
        </row>
        <row r="7">
          <cell r="A7" t="str">
            <v>arg</v>
          </cell>
          <cell r="G7" t="str">
            <v>39</v>
          </cell>
        </row>
        <row r="8">
          <cell r="A8" t="str">
            <v>arm</v>
          </cell>
          <cell r="G8" t="str">
            <v>7</v>
          </cell>
        </row>
        <row r="9">
          <cell r="A9" t="str">
            <v>atg</v>
          </cell>
          <cell r="G9" t="str">
            <v>2</v>
          </cell>
        </row>
        <row r="10">
          <cell r="A10" t="str">
            <v>aus</v>
          </cell>
          <cell r="G10" t="str">
            <v>69</v>
          </cell>
        </row>
        <row r="11">
          <cell r="A11" t="str">
            <v>aut</v>
          </cell>
          <cell r="G11" t="str">
            <v>5</v>
          </cell>
        </row>
        <row r="12">
          <cell r="A12" t="str">
            <v>aze</v>
          </cell>
          <cell r="G12" t="str">
            <v>7</v>
          </cell>
        </row>
        <row r="13">
          <cell r="A13" t="str">
            <v>bdi</v>
          </cell>
          <cell r="G13" t="str">
            <v>16</v>
          </cell>
        </row>
        <row r="14">
          <cell r="A14" t="str">
            <v>bel</v>
          </cell>
          <cell r="G14" t="str">
            <v>3</v>
          </cell>
        </row>
        <row r="15">
          <cell r="A15" t="str">
            <v>ben</v>
          </cell>
          <cell r="G15" t="str">
            <v>16</v>
          </cell>
        </row>
        <row r="16">
          <cell r="A16" t="str">
            <v>bfa</v>
          </cell>
          <cell r="G16" t="str">
            <v>12</v>
          </cell>
        </row>
        <row r="17">
          <cell r="A17" t="str">
            <v>bgd</v>
          </cell>
          <cell r="G17" t="str">
            <v>39</v>
          </cell>
        </row>
        <row r="18">
          <cell r="A18" t="str">
            <v>bgr</v>
          </cell>
          <cell r="G18" t="str">
            <v>10</v>
          </cell>
        </row>
        <row r="19">
          <cell r="A19" t="str">
            <v>bhr</v>
          </cell>
          <cell r="G19" t="str">
            <v>3</v>
          </cell>
        </row>
        <row r="20">
          <cell r="A20" t="str">
            <v>bhs</v>
          </cell>
          <cell r="G20" t="str">
            <v>5</v>
          </cell>
        </row>
        <row r="21">
          <cell r="A21" t="str">
            <v>bih</v>
          </cell>
          <cell r="G21" t="str">
            <v>5</v>
          </cell>
        </row>
        <row r="22">
          <cell r="A22" t="str">
            <v>blr</v>
          </cell>
          <cell r="G22" t="str">
            <v>4</v>
          </cell>
        </row>
        <row r="23">
          <cell r="A23" t="str">
            <v>blz</v>
          </cell>
          <cell r="G23" t="str">
            <v>10</v>
          </cell>
        </row>
        <row r="24">
          <cell r="A24" t="str">
            <v>bol</v>
          </cell>
          <cell r="G24" t="str">
            <v>24</v>
          </cell>
        </row>
        <row r="25">
          <cell r="A25" t="str">
            <v>bra</v>
          </cell>
          <cell r="G25" t="str">
            <v>97</v>
          </cell>
        </row>
        <row r="26">
          <cell r="A26" t="str">
            <v>brb</v>
          </cell>
          <cell r="G26" t="str">
            <v>3</v>
          </cell>
        </row>
        <row r="27">
          <cell r="A27" t="str">
            <v>brn</v>
          </cell>
          <cell r="G27" t="str">
            <v>37</v>
          </cell>
        </row>
        <row r="28">
          <cell r="A28" t="str">
            <v>btn</v>
          </cell>
          <cell r="G28" t="str">
            <v>28</v>
          </cell>
        </row>
        <row r="29">
          <cell r="A29" t="str">
            <v>bwa</v>
          </cell>
          <cell r="G29" t="str">
            <v>11</v>
          </cell>
        </row>
        <row r="30">
          <cell r="A30" t="str">
            <v>caf</v>
          </cell>
          <cell r="G30" t="str">
            <v>20</v>
          </cell>
        </row>
        <row r="31">
          <cell r="A31" t="str">
            <v>can</v>
          </cell>
          <cell r="G31" t="str">
            <v>18</v>
          </cell>
        </row>
        <row r="32">
          <cell r="A32" t="str">
            <v>che</v>
          </cell>
          <cell r="G32" t="str">
            <v>5</v>
          </cell>
        </row>
        <row r="33">
          <cell r="A33" t="str">
            <v>chl</v>
          </cell>
          <cell r="G33" t="str">
            <v>18</v>
          </cell>
        </row>
        <row r="34">
          <cell r="A34" t="str">
            <v>chn</v>
          </cell>
          <cell r="G34" t="str">
            <v>78</v>
          </cell>
        </row>
        <row r="35">
          <cell r="A35" t="str">
            <v>civ</v>
          </cell>
          <cell r="G35" t="str">
            <v>34</v>
          </cell>
        </row>
        <row r="36">
          <cell r="A36" t="str">
            <v>cmr</v>
          </cell>
          <cell r="G36" t="str">
            <v>48</v>
          </cell>
        </row>
        <row r="37">
          <cell r="A37" t="str">
            <v>cod</v>
          </cell>
          <cell r="G37" t="str">
            <v>48</v>
          </cell>
        </row>
        <row r="38">
          <cell r="A38" t="str">
            <v>cog</v>
          </cell>
          <cell r="G38" t="str">
            <v>18</v>
          </cell>
        </row>
        <row r="39">
          <cell r="A39" t="str">
            <v>col</v>
          </cell>
          <cell r="G39" t="str">
            <v>63</v>
          </cell>
        </row>
        <row r="40">
          <cell r="A40" t="str">
            <v>com</v>
          </cell>
          <cell r="G40" t="str">
            <v>6</v>
          </cell>
        </row>
        <row r="41">
          <cell r="A41" t="str">
            <v>cpv</v>
          </cell>
          <cell r="G41" t="str">
            <v>4</v>
          </cell>
        </row>
        <row r="42">
          <cell r="A42" t="str">
            <v>cri</v>
          </cell>
          <cell r="G42" t="str">
            <v>12</v>
          </cell>
        </row>
        <row r="43">
          <cell r="A43" t="str">
            <v>cub</v>
          </cell>
          <cell r="G43" t="str">
            <v>10</v>
          </cell>
        </row>
        <row r="44">
          <cell r="A44" t="str">
            <v>cyp</v>
          </cell>
          <cell r="G44" t="str">
            <v>7</v>
          </cell>
        </row>
        <row r="45">
          <cell r="A45" t="str">
            <v>cze</v>
          </cell>
          <cell r="G45" t="str">
            <v>4</v>
          </cell>
        </row>
        <row r="46">
          <cell r="A46" t="str">
            <v>deu</v>
          </cell>
          <cell r="G46" t="str">
            <v>7</v>
          </cell>
        </row>
        <row r="47">
          <cell r="A47" t="str">
            <v>dji</v>
          </cell>
          <cell r="G47" t="str">
            <v>11</v>
          </cell>
        </row>
        <row r="48">
          <cell r="A48" t="str">
            <v>dma</v>
          </cell>
          <cell r="G48" t="str">
            <v>3</v>
          </cell>
        </row>
        <row r="49">
          <cell r="A49" t="str">
            <v>dnk</v>
          </cell>
          <cell r="G49" t="str">
            <v>2</v>
          </cell>
        </row>
        <row r="50">
          <cell r="A50" t="str">
            <v>dom</v>
          </cell>
          <cell r="G50" t="str">
            <v>6</v>
          </cell>
        </row>
        <row r="51">
          <cell r="A51" t="str">
            <v>dza</v>
          </cell>
          <cell r="G51" t="str">
            <v>15</v>
          </cell>
        </row>
        <row r="52">
          <cell r="A52" t="str">
            <v>ecu</v>
          </cell>
          <cell r="G52" t="str">
            <v>49</v>
          </cell>
        </row>
        <row r="53">
          <cell r="A53" t="str">
            <v>egy</v>
          </cell>
          <cell r="G53" t="str">
            <v>19</v>
          </cell>
        </row>
        <row r="54">
          <cell r="A54" t="str">
            <v>eri</v>
          </cell>
          <cell r="G54" t="str">
            <v>16</v>
          </cell>
        </row>
        <row r="55">
          <cell r="A55" t="str">
            <v>esp</v>
          </cell>
          <cell r="G55" t="str">
            <v>18</v>
          </cell>
        </row>
        <row r="56">
          <cell r="A56" t="str">
            <v>est</v>
          </cell>
          <cell r="G56" t="str">
            <v>1</v>
          </cell>
        </row>
        <row r="57">
          <cell r="A57" t="str">
            <v>eth</v>
          </cell>
          <cell r="G57" t="str">
            <v>40</v>
          </cell>
        </row>
        <row r="58">
          <cell r="A58" t="str">
            <v>fin</v>
          </cell>
          <cell r="G58" t="str">
            <v>2</v>
          </cell>
        </row>
        <row r="59">
          <cell r="A59" t="str">
            <v>fji</v>
          </cell>
          <cell r="G59" t="str">
            <v>7</v>
          </cell>
        </row>
        <row r="60">
          <cell r="A60" t="str">
            <v>fra</v>
          </cell>
          <cell r="G60" t="str">
            <v>13</v>
          </cell>
        </row>
        <row r="61">
          <cell r="A61" t="str">
            <v>fsm</v>
          </cell>
          <cell r="G61" t="str">
            <v>6</v>
          </cell>
        </row>
        <row r="62">
          <cell r="A62" t="str">
            <v>gab</v>
          </cell>
          <cell r="G62" t="str">
            <v>18</v>
          </cell>
        </row>
        <row r="63">
          <cell r="A63" t="str">
            <v>gbr</v>
          </cell>
          <cell r="G63" t="str">
            <v>4</v>
          </cell>
        </row>
        <row r="64">
          <cell r="A64" t="str">
            <v>geo</v>
          </cell>
          <cell r="G64" t="str">
            <v>8</v>
          </cell>
        </row>
        <row r="65">
          <cell r="A65" t="str">
            <v>gha</v>
          </cell>
          <cell r="G65" t="str">
            <v>23</v>
          </cell>
        </row>
        <row r="66">
          <cell r="A66" t="str">
            <v>gin</v>
          </cell>
          <cell r="G66" t="str">
            <v>32</v>
          </cell>
        </row>
        <row r="67">
          <cell r="A67" t="str">
            <v>gmb</v>
          </cell>
          <cell r="G67" t="str">
            <v>10</v>
          </cell>
        </row>
        <row r="68">
          <cell r="A68" t="str">
            <v>gnb</v>
          </cell>
          <cell r="G68" t="str">
            <v>15</v>
          </cell>
        </row>
        <row r="69">
          <cell r="A69" t="str">
            <v>gnq</v>
          </cell>
          <cell r="G69" t="str">
            <v>24</v>
          </cell>
        </row>
        <row r="70">
          <cell r="A70" t="str">
            <v>grc</v>
          </cell>
          <cell r="G70" t="str">
            <v>12</v>
          </cell>
        </row>
        <row r="71">
          <cell r="A71" t="str">
            <v>grd</v>
          </cell>
          <cell r="G71" t="str">
            <v>3</v>
          </cell>
        </row>
        <row r="72">
          <cell r="A72" t="str">
            <v>gtm</v>
          </cell>
          <cell r="G72" t="str">
            <v>16</v>
          </cell>
        </row>
        <row r="73">
          <cell r="A73" t="str">
            <v>guy</v>
          </cell>
          <cell r="G73" t="str">
            <v>11</v>
          </cell>
        </row>
        <row r="74">
          <cell r="A74" t="str">
            <v>hnd</v>
          </cell>
          <cell r="G74" t="str">
            <v>10</v>
          </cell>
        </row>
        <row r="75">
          <cell r="A75" t="str">
            <v>hrv</v>
          </cell>
          <cell r="G75" t="str">
            <v>10</v>
          </cell>
        </row>
        <row r="76">
          <cell r="A76" t="str">
            <v>hti</v>
          </cell>
          <cell r="G76" t="str">
            <v>3</v>
          </cell>
        </row>
        <row r="77">
          <cell r="A77" t="str">
            <v>hun</v>
          </cell>
          <cell r="G77" t="str">
            <v>6</v>
          </cell>
        </row>
        <row r="78">
          <cell r="A78" t="str">
            <v>idn</v>
          </cell>
          <cell r="G78" t="str">
            <v>212</v>
          </cell>
        </row>
        <row r="79">
          <cell r="A79" t="str">
            <v>ind</v>
          </cell>
          <cell r="G79" t="str">
            <v>99</v>
          </cell>
        </row>
        <row r="80">
          <cell r="A80" t="str">
            <v>irl</v>
          </cell>
          <cell r="G80" t="str">
            <v>4</v>
          </cell>
        </row>
        <row r="81">
          <cell r="A81" t="str">
            <v>irn</v>
          </cell>
          <cell r="G81" t="str">
            <v>18</v>
          </cell>
        </row>
        <row r="82">
          <cell r="A82" t="str">
            <v>irq</v>
          </cell>
          <cell r="G82" t="str">
            <v>13</v>
          </cell>
        </row>
        <row r="83">
          <cell r="A83" t="str">
            <v>isl</v>
          </cell>
          <cell r="G83" t="str">
            <v>6</v>
          </cell>
        </row>
        <row r="84">
          <cell r="A84" t="str">
            <v>isr</v>
          </cell>
          <cell r="G84" t="str">
            <v>16</v>
          </cell>
        </row>
        <row r="85">
          <cell r="A85" t="str">
            <v>ita</v>
          </cell>
          <cell r="G85" t="str">
            <v>9</v>
          </cell>
        </row>
        <row r="86">
          <cell r="A86" t="str">
            <v>jam</v>
          </cell>
          <cell r="G86" t="str">
            <v>7</v>
          </cell>
        </row>
        <row r="87">
          <cell r="A87" t="str">
            <v>jor</v>
          </cell>
          <cell r="G87" t="str">
            <v>13</v>
          </cell>
        </row>
        <row r="88">
          <cell r="A88" t="str">
            <v>jpn</v>
          </cell>
          <cell r="G88" t="str">
            <v>29</v>
          </cell>
        </row>
        <row r="89">
          <cell r="A89" t="str">
            <v>kaz</v>
          </cell>
          <cell r="G89" t="str">
            <v>17</v>
          </cell>
        </row>
        <row r="90">
          <cell r="A90" t="str">
            <v>ken</v>
          </cell>
          <cell r="G90" t="str">
            <v>32</v>
          </cell>
        </row>
        <row r="91">
          <cell r="A91" t="str">
            <v>kgz</v>
          </cell>
          <cell r="G91" t="str">
            <v>5</v>
          </cell>
        </row>
        <row r="92">
          <cell r="A92" t="str">
            <v>khm</v>
          </cell>
          <cell r="G92" t="str">
            <v>44</v>
          </cell>
        </row>
        <row r="93">
          <cell r="A93" t="str">
            <v>kir</v>
          </cell>
          <cell r="G93" t="str">
            <v>2</v>
          </cell>
        </row>
        <row r="94">
          <cell r="A94" t="str">
            <v>kna</v>
          </cell>
          <cell r="G94" t="str">
            <v>2</v>
          </cell>
        </row>
        <row r="95">
          <cell r="A95" t="str">
            <v>kor</v>
          </cell>
          <cell r="G95" t="str">
            <v>12</v>
          </cell>
        </row>
        <row r="96">
          <cell r="A96" t="str">
            <v>kwt</v>
          </cell>
          <cell r="G96" t="str">
            <v>7</v>
          </cell>
        </row>
        <row r="97">
          <cell r="A97" t="str">
            <v>lao</v>
          </cell>
          <cell r="G97" t="str">
            <v>49</v>
          </cell>
        </row>
        <row r="98">
          <cell r="A98" t="str">
            <v>lbn</v>
          </cell>
          <cell r="G98" t="str">
            <v>10</v>
          </cell>
        </row>
        <row r="99">
          <cell r="A99" t="str">
            <v>lbr</v>
          </cell>
          <cell r="G99" t="str">
            <v>26</v>
          </cell>
        </row>
        <row r="100">
          <cell r="A100" t="str">
            <v>lby</v>
          </cell>
          <cell r="G100" t="str">
            <v>11</v>
          </cell>
        </row>
        <row r="101">
          <cell r="A101" t="str">
            <v>lca</v>
          </cell>
          <cell r="G101" t="str">
            <v>2</v>
          </cell>
        </row>
        <row r="102">
          <cell r="A102" t="str">
            <v>lie</v>
          </cell>
        </row>
        <row r="103">
          <cell r="A103" t="str">
            <v>lka</v>
          </cell>
          <cell r="G103" t="str">
            <v>30</v>
          </cell>
        </row>
        <row r="104">
          <cell r="A104" t="str">
            <v>lso</v>
          </cell>
          <cell r="G104" t="str">
            <v>4</v>
          </cell>
        </row>
        <row r="105">
          <cell r="A105" t="str">
            <v>ltu</v>
          </cell>
          <cell r="G105" t="str">
            <v>1</v>
          </cell>
        </row>
        <row r="106">
          <cell r="A106" t="str">
            <v>lux</v>
          </cell>
        </row>
        <row r="107">
          <cell r="A107" t="str">
            <v>lva</v>
          </cell>
          <cell r="G107" t="str">
            <v>1</v>
          </cell>
        </row>
        <row r="108">
          <cell r="A108" t="str">
            <v>mar</v>
          </cell>
          <cell r="G108" t="str">
            <v>19</v>
          </cell>
        </row>
        <row r="109">
          <cell r="A109" t="str">
            <v>mco</v>
          </cell>
          <cell r="G109" t="str">
            <v>4</v>
          </cell>
        </row>
        <row r="110">
          <cell r="A110" t="str">
            <v>mda</v>
          </cell>
          <cell r="G110" t="str">
            <v>6</v>
          </cell>
        </row>
        <row r="111">
          <cell r="A111" t="str">
            <v>mdg</v>
          </cell>
          <cell r="G111" t="str">
            <v>133</v>
          </cell>
        </row>
        <row r="112">
          <cell r="A112" t="str">
            <v>mdv</v>
          </cell>
          <cell r="G112" t="str">
            <v>2</v>
          </cell>
        </row>
        <row r="113">
          <cell r="A113" t="str">
            <v>mex</v>
          </cell>
          <cell r="G113" t="str">
            <v>97</v>
          </cell>
        </row>
        <row r="114">
          <cell r="A114" t="str">
            <v>mhl</v>
          </cell>
          <cell r="G114" t="str">
            <v>1</v>
          </cell>
        </row>
        <row r="115">
          <cell r="A115" t="str">
            <v>mkd</v>
          </cell>
          <cell r="G115" t="str">
            <v>7</v>
          </cell>
        </row>
        <row r="116">
          <cell r="A116" t="str">
            <v>mli</v>
          </cell>
          <cell r="G116" t="str">
            <v>14</v>
          </cell>
        </row>
        <row r="117">
          <cell r="A117" t="str">
            <v>mlt</v>
          </cell>
          <cell r="G117" t="str">
            <v>3</v>
          </cell>
        </row>
        <row r="118">
          <cell r="A118" t="str">
            <v>mmr</v>
          </cell>
          <cell r="G118" t="str">
            <v>54</v>
          </cell>
        </row>
        <row r="119">
          <cell r="A119" t="str">
            <v>mne</v>
          </cell>
          <cell r="G119" t="str">
            <v>7</v>
          </cell>
        </row>
        <row r="120">
          <cell r="A120" t="str">
            <v>mng</v>
          </cell>
          <cell r="G120" t="str">
            <v>11</v>
          </cell>
        </row>
        <row r="121">
          <cell r="A121" t="str">
            <v>moz</v>
          </cell>
          <cell r="G121" t="str">
            <v>19</v>
          </cell>
        </row>
        <row r="122">
          <cell r="A122" t="str">
            <v>mrt</v>
          </cell>
          <cell r="G122" t="str">
            <v>18</v>
          </cell>
        </row>
        <row r="123">
          <cell r="A123" t="str">
            <v>mus</v>
          </cell>
          <cell r="G123" t="str">
            <v>7</v>
          </cell>
        </row>
        <row r="124">
          <cell r="A124" t="str">
            <v>mwi</v>
          </cell>
          <cell r="G124" t="str">
            <v>10</v>
          </cell>
        </row>
        <row r="125">
          <cell r="A125" t="str">
            <v>mys</v>
          </cell>
          <cell r="G125" t="str">
            <v>80</v>
          </cell>
        </row>
        <row r="126">
          <cell r="A126" t="str">
            <v>nam</v>
          </cell>
          <cell r="G126" t="str">
            <v>15</v>
          </cell>
        </row>
        <row r="127">
          <cell r="A127" t="str">
            <v>ner</v>
          </cell>
          <cell r="G127" t="str">
            <v>14</v>
          </cell>
        </row>
        <row r="128">
          <cell r="A128" t="str">
            <v>nga</v>
          </cell>
          <cell r="G128" t="str">
            <v>35</v>
          </cell>
        </row>
        <row r="129">
          <cell r="A129" t="str">
            <v>nic</v>
          </cell>
          <cell r="G129" t="str">
            <v>9</v>
          </cell>
        </row>
        <row r="130">
          <cell r="A130" t="str">
            <v>nld</v>
          </cell>
          <cell r="G130" t="str">
            <v>4</v>
          </cell>
        </row>
        <row r="131">
          <cell r="A131" t="str">
            <v>nor</v>
          </cell>
          <cell r="G131" t="str">
            <v>8</v>
          </cell>
        </row>
        <row r="132">
          <cell r="A132" t="str">
            <v>npl</v>
          </cell>
          <cell r="G132" t="str">
            <v>30</v>
          </cell>
        </row>
        <row r="133">
          <cell r="A133" t="str">
            <v>nru</v>
          </cell>
          <cell r="G133" t="str">
            <v>2</v>
          </cell>
        </row>
        <row r="134">
          <cell r="A134" t="str">
            <v>nzl</v>
          </cell>
          <cell r="G134" t="str">
            <v>9</v>
          </cell>
        </row>
        <row r="135">
          <cell r="A135" t="str">
            <v>omn</v>
          </cell>
          <cell r="G135" t="str">
            <v>9</v>
          </cell>
        </row>
        <row r="136">
          <cell r="A136" t="str">
            <v>pak</v>
          </cell>
          <cell r="G136" t="str">
            <v>24</v>
          </cell>
        </row>
        <row r="137">
          <cell r="A137" t="str">
            <v>pan</v>
          </cell>
          <cell r="G137" t="str">
            <v>18</v>
          </cell>
        </row>
        <row r="138">
          <cell r="A138" t="str">
            <v>per</v>
          </cell>
          <cell r="G138" t="str">
            <v>51</v>
          </cell>
        </row>
        <row r="139">
          <cell r="A139" t="str">
            <v>phl</v>
          </cell>
          <cell r="G139" t="str">
            <v>42</v>
          </cell>
        </row>
        <row r="140">
          <cell r="A140" t="str">
            <v>plw</v>
          </cell>
          <cell r="G140" t="str">
            <v>5</v>
          </cell>
        </row>
        <row r="141">
          <cell r="A141" t="str">
            <v>png</v>
          </cell>
          <cell r="G141" t="str">
            <v>51</v>
          </cell>
        </row>
        <row r="142">
          <cell r="A142" t="str">
            <v>pol</v>
          </cell>
          <cell r="G142" t="str">
            <v>4</v>
          </cell>
        </row>
        <row r="143">
          <cell r="A143" t="str">
            <v>prk</v>
          </cell>
          <cell r="G143" t="str">
            <v>10</v>
          </cell>
        </row>
        <row r="144">
          <cell r="A144" t="str">
            <v>prt</v>
          </cell>
          <cell r="G144" t="str">
            <v>15</v>
          </cell>
        </row>
        <row r="145">
          <cell r="A145" t="str">
            <v>pry</v>
          </cell>
          <cell r="G145" t="str">
            <v>11</v>
          </cell>
        </row>
        <row r="146">
          <cell r="A146" t="str">
            <v>pse</v>
          </cell>
          <cell r="G146" t="str">
            <v>5</v>
          </cell>
        </row>
        <row r="147">
          <cell r="A147" t="str">
            <v>qat</v>
          </cell>
          <cell r="G147" t="str">
            <v>4</v>
          </cell>
        </row>
        <row r="148">
          <cell r="A148" t="str">
            <v>rou</v>
          </cell>
          <cell r="G148" t="str">
            <v>14</v>
          </cell>
        </row>
        <row r="149">
          <cell r="A149" t="str">
            <v>rus</v>
          </cell>
          <cell r="G149" t="str">
            <v>33</v>
          </cell>
        </row>
        <row r="150">
          <cell r="A150" t="str">
            <v>rwa</v>
          </cell>
          <cell r="G150" t="str">
            <v>24</v>
          </cell>
        </row>
        <row r="151">
          <cell r="A151" t="str">
            <v>sau</v>
          </cell>
          <cell r="G151" t="str">
            <v>11</v>
          </cell>
        </row>
        <row r="152">
          <cell r="A152" t="str">
            <v>sdn</v>
          </cell>
          <cell r="G152" t="str">
            <v>19</v>
          </cell>
        </row>
        <row r="153">
          <cell r="A153" t="str">
            <v>sen</v>
          </cell>
          <cell r="G153" t="str">
            <v>21</v>
          </cell>
        </row>
        <row r="154">
          <cell r="A154" t="str">
            <v>sgp</v>
          </cell>
          <cell r="G154" t="str">
            <v>17</v>
          </cell>
        </row>
        <row r="155">
          <cell r="A155" t="str">
            <v>slb</v>
          </cell>
          <cell r="G155" t="str">
            <v>24</v>
          </cell>
        </row>
        <row r="156">
          <cell r="A156" t="str">
            <v>sle</v>
          </cell>
          <cell r="G156" t="str">
            <v>26</v>
          </cell>
        </row>
        <row r="157">
          <cell r="A157" t="str">
            <v>slv</v>
          </cell>
          <cell r="G157" t="str">
            <v>6</v>
          </cell>
        </row>
        <row r="158">
          <cell r="A158" t="str">
            <v>smr</v>
          </cell>
          <cell r="G158" t="str">
            <v>1</v>
          </cell>
        </row>
        <row r="159">
          <cell r="A159" t="str">
            <v>som</v>
          </cell>
          <cell r="G159" t="str">
            <v>18</v>
          </cell>
        </row>
        <row r="160">
          <cell r="A160" t="str">
            <v>srb</v>
          </cell>
          <cell r="G160" t="str">
            <v>8</v>
          </cell>
        </row>
        <row r="161">
          <cell r="A161" t="str">
            <v>ssd</v>
          </cell>
          <cell r="G161" t="str">
            <v>18</v>
          </cell>
        </row>
        <row r="162">
          <cell r="A162" t="str">
            <v>stp</v>
          </cell>
          <cell r="G162" t="str">
            <v>4</v>
          </cell>
        </row>
        <row r="163">
          <cell r="A163" t="str">
            <v>sur</v>
          </cell>
          <cell r="G163" t="str">
            <v>9</v>
          </cell>
        </row>
        <row r="164">
          <cell r="A164" t="str">
            <v>svk</v>
          </cell>
          <cell r="G164" t="str">
            <v>5</v>
          </cell>
        </row>
        <row r="165">
          <cell r="A165" t="str">
            <v>svn</v>
          </cell>
          <cell r="G165" t="str">
            <v>8</v>
          </cell>
        </row>
        <row r="166">
          <cell r="A166" t="str">
            <v>swe</v>
          </cell>
          <cell r="G166" t="str">
            <v>1</v>
          </cell>
        </row>
        <row r="167">
          <cell r="A167" t="str">
            <v>swz</v>
          </cell>
          <cell r="G167" t="str">
            <v>9</v>
          </cell>
        </row>
        <row r="168">
          <cell r="A168" t="str">
            <v>syc</v>
          </cell>
          <cell r="G168" t="str">
            <v>7</v>
          </cell>
        </row>
        <row r="169">
          <cell r="A169" t="str">
            <v>syr</v>
          </cell>
          <cell r="G169" t="str">
            <v>15</v>
          </cell>
        </row>
        <row r="170">
          <cell r="A170" t="str">
            <v>tcd</v>
          </cell>
          <cell r="G170" t="str">
            <v>16</v>
          </cell>
        </row>
        <row r="171">
          <cell r="A171" t="str">
            <v>tgo</v>
          </cell>
          <cell r="G171" t="str">
            <v>16</v>
          </cell>
        </row>
        <row r="172">
          <cell r="A172" t="str">
            <v>tha</v>
          </cell>
          <cell r="G172" t="str">
            <v>64</v>
          </cell>
        </row>
        <row r="173">
          <cell r="A173" t="str">
            <v>tjk</v>
          </cell>
          <cell r="G173" t="str">
            <v>7</v>
          </cell>
        </row>
        <row r="174">
          <cell r="A174" t="str">
            <v>tkm</v>
          </cell>
          <cell r="G174" t="str">
            <v>9</v>
          </cell>
        </row>
        <row r="175">
          <cell r="A175" t="str">
            <v>tls</v>
          </cell>
          <cell r="G175" t="str">
            <v>6</v>
          </cell>
        </row>
        <row r="176">
          <cell r="A176" t="str">
            <v>ton</v>
          </cell>
          <cell r="G176" t="str">
            <v>2</v>
          </cell>
        </row>
        <row r="177">
          <cell r="A177" t="str">
            <v>tto</v>
          </cell>
          <cell r="G177" t="str">
            <v>3</v>
          </cell>
        </row>
        <row r="178">
          <cell r="A178" t="str">
            <v>tun</v>
          </cell>
          <cell r="G178" t="str">
            <v>15</v>
          </cell>
        </row>
        <row r="179">
          <cell r="A179" t="str">
            <v>tur</v>
          </cell>
          <cell r="G179" t="str">
            <v>18</v>
          </cell>
        </row>
        <row r="180">
          <cell r="A180" t="str">
            <v>tuv</v>
          </cell>
          <cell r="G180" t="str">
            <v>2</v>
          </cell>
        </row>
        <row r="181">
          <cell r="A181" t="str">
            <v>tza</v>
          </cell>
          <cell r="G181" t="str">
            <v>45</v>
          </cell>
        </row>
        <row r="182">
          <cell r="A182" t="str">
            <v>uga</v>
          </cell>
          <cell r="G182" t="str">
            <v>32</v>
          </cell>
        </row>
        <row r="183">
          <cell r="A183" t="str">
            <v>ukr</v>
          </cell>
          <cell r="G183" t="str">
            <v>13</v>
          </cell>
        </row>
        <row r="184">
          <cell r="A184" t="str">
            <v>ury</v>
          </cell>
          <cell r="G184" t="str">
            <v>9</v>
          </cell>
        </row>
        <row r="185">
          <cell r="A185" t="str">
            <v>usa</v>
          </cell>
          <cell r="G185" t="str">
            <v>43</v>
          </cell>
        </row>
        <row r="186">
          <cell r="A186" t="str">
            <v>uzb</v>
          </cell>
          <cell r="G186" t="str">
            <v>10</v>
          </cell>
        </row>
        <row r="187">
          <cell r="A187" t="str">
            <v>vct</v>
          </cell>
          <cell r="G187" t="str">
            <v>2</v>
          </cell>
        </row>
        <row r="188">
          <cell r="A188" t="str">
            <v>ven</v>
          </cell>
          <cell r="G188" t="str">
            <v>37</v>
          </cell>
        </row>
        <row r="189">
          <cell r="A189" t="str">
            <v>vnm</v>
          </cell>
          <cell r="G189" t="str">
            <v>63</v>
          </cell>
        </row>
        <row r="190">
          <cell r="A190" t="str">
            <v>vut</v>
          </cell>
          <cell r="G190" t="str">
            <v>8</v>
          </cell>
        </row>
        <row r="191">
          <cell r="A191" t="str">
            <v>wsm</v>
          </cell>
          <cell r="G191" t="str">
            <v>2</v>
          </cell>
        </row>
        <row r="192">
          <cell r="A192" t="str">
            <v>yem</v>
          </cell>
          <cell r="G192" t="str">
            <v>12</v>
          </cell>
        </row>
        <row r="193">
          <cell r="A193" t="str">
            <v>zaf</v>
          </cell>
          <cell r="G193" t="str">
            <v>33</v>
          </cell>
        </row>
        <row r="194">
          <cell r="A194" t="str">
            <v>zmb</v>
          </cell>
          <cell r="G194" t="str">
            <v>13</v>
          </cell>
        </row>
        <row r="195">
          <cell r="A195" t="str">
            <v>zwe</v>
          </cell>
          <cell r="G195" t="str">
            <v>10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_fsh_thrd_no"/>
    </sheetNames>
    <sheetDataSet>
      <sheetData sheetId="0">
        <row r="2">
          <cell r="A2" t="str">
            <v>afg</v>
          </cell>
          <cell r="G2" t="str">
            <v>11</v>
          </cell>
        </row>
        <row r="3">
          <cell r="A3" t="str">
            <v>ago</v>
          </cell>
          <cell r="G3" t="str">
            <v>82</v>
          </cell>
        </row>
        <row r="4">
          <cell r="A4" t="str">
            <v>alb</v>
          </cell>
          <cell r="G4" t="str">
            <v>60</v>
          </cell>
        </row>
        <row r="5">
          <cell r="A5" t="str">
            <v>and</v>
          </cell>
        </row>
        <row r="6">
          <cell r="A6" t="str">
            <v>are</v>
          </cell>
          <cell r="G6" t="str">
            <v>53</v>
          </cell>
        </row>
        <row r="7">
          <cell r="A7" t="str">
            <v>arg</v>
          </cell>
          <cell r="G7" t="str">
            <v>83</v>
          </cell>
        </row>
        <row r="8">
          <cell r="A8" t="str">
            <v>arm</v>
          </cell>
          <cell r="G8" t="str">
            <v>4</v>
          </cell>
        </row>
        <row r="9">
          <cell r="A9" t="str">
            <v>atg</v>
          </cell>
          <cell r="G9" t="str">
            <v>49</v>
          </cell>
        </row>
        <row r="10">
          <cell r="A10" t="str">
            <v>aus</v>
          </cell>
          <cell r="G10" t="str">
            <v>214</v>
          </cell>
        </row>
        <row r="11">
          <cell r="A11" t="str">
            <v>aut</v>
          </cell>
          <cell r="G11" t="str">
            <v>13</v>
          </cell>
        </row>
        <row r="12">
          <cell r="A12" t="str">
            <v>aze</v>
          </cell>
          <cell r="G12" t="str">
            <v>14</v>
          </cell>
        </row>
        <row r="13">
          <cell r="A13" t="str">
            <v>bdi</v>
          </cell>
          <cell r="G13" t="str">
            <v>17</v>
          </cell>
        </row>
        <row r="14">
          <cell r="A14" t="str">
            <v>bel</v>
          </cell>
          <cell r="G14" t="str">
            <v>19</v>
          </cell>
        </row>
        <row r="15">
          <cell r="A15" t="str">
            <v>ben</v>
          </cell>
          <cell r="G15" t="str">
            <v>73</v>
          </cell>
        </row>
        <row r="16">
          <cell r="A16" t="str">
            <v>bfa</v>
          </cell>
          <cell r="G16" t="str">
            <v>3</v>
          </cell>
        </row>
        <row r="17">
          <cell r="A17" t="str">
            <v>bgd</v>
          </cell>
          <cell r="G17" t="str">
            <v>75</v>
          </cell>
        </row>
        <row r="18">
          <cell r="A18" t="str">
            <v>bgr</v>
          </cell>
          <cell r="G18" t="str">
            <v>21</v>
          </cell>
        </row>
        <row r="19">
          <cell r="A19" t="str">
            <v>bhr</v>
          </cell>
          <cell r="G19" t="str">
            <v>36</v>
          </cell>
        </row>
        <row r="20">
          <cell r="A20" t="str">
            <v>bhs</v>
          </cell>
          <cell r="G20" t="str">
            <v>60</v>
          </cell>
        </row>
        <row r="21">
          <cell r="A21" t="str">
            <v>bih</v>
          </cell>
          <cell r="G21" t="str">
            <v>51</v>
          </cell>
        </row>
        <row r="22">
          <cell r="A22" t="str">
            <v>blr</v>
          </cell>
          <cell r="G22" t="str">
            <v>3</v>
          </cell>
        </row>
        <row r="23">
          <cell r="A23" t="str">
            <v>blz</v>
          </cell>
          <cell r="G23" t="str">
            <v>69</v>
          </cell>
        </row>
        <row r="24">
          <cell r="A24" t="str">
            <v>bol</v>
          </cell>
          <cell r="G24" t="str">
            <v>9</v>
          </cell>
        </row>
        <row r="25">
          <cell r="A25" t="str">
            <v>bra</v>
          </cell>
          <cell r="G25" t="str">
            <v>360</v>
          </cell>
        </row>
        <row r="26">
          <cell r="A26" t="str">
            <v>brb</v>
          </cell>
          <cell r="G26" t="str">
            <v>48</v>
          </cell>
        </row>
        <row r="27">
          <cell r="A27" t="str">
            <v>brn</v>
          </cell>
          <cell r="G27" t="str">
            <v>61</v>
          </cell>
        </row>
        <row r="28">
          <cell r="A28" t="str">
            <v>btn</v>
          </cell>
          <cell r="G28" t="str">
            <v>5</v>
          </cell>
        </row>
        <row r="29">
          <cell r="A29" t="str">
            <v>bwa</v>
          </cell>
          <cell r="G29" t="str">
            <v>2</v>
          </cell>
        </row>
        <row r="30">
          <cell r="A30" t="str">
            <v>caf</v>
          </cell>
          <cell r="G30" t="str">
            <v>3</v>
          </cell>
        </row>
        <row r="31">
          <cell r="A31" t="str">
            <v>can</v>
          </cell>
          <cell r="G31" t="str">
            <v>51</v>
          </cell>
        </row>
        <row r="32">
          <cell r="A32" t="str">
            <v>che</v>
          </cell>
          <cell r="G32" t="str">
            <v>9</v>
          </cell>
        </row>
        <row r="33">
          <cell r="A33" t="str">
            <v>chl</v>
          </cell>
          <cell r="G33" t="str">
            <v>41</v>
          </cell>
        </row>
        <row r="34">
          <cell r="A34" t="str">
            <v>chn</v>
          </cell>
          <cell r="G34" t="str">
            <v>207</v>
          </cell>
        </row>
        <row r="35">
          <cell r="A35" t="str">
            <v>civ</v>
          </cell>
          <cell r="G35" t="str">
            <v>89</v>
          </cell>
        </row>
        <row r="36">
          <cell r="A36" t="str">
            <v>cmr</v>
          </cell>
          <cell r="G36" t="str">
            <v>148</v>
          </cell>
        </row>
        <row r="37">
          <cell r="A37" t="str">
            <v>cod</v>
          </cell>
          <cell r="G37" t="str">
            <v>128</v>
          </cell>
        </row>
        <row r="38">
          <cell r="A38" t="str">
            <v>cog</v>
          </cell>
          <cell r="G38" t="str">
            <v>83</v>
          </cell>
        </row>
        <row r="39">
          <cell r="A39" t="str">
            <v>col</v>
          </cell>
          <cell r="G39" t="str">
            <v>183</v>
          </cell>
        </row>
        <row r="40">
          <cell r="A40" t="str">
            <v>com</v>
          </cell>
          <cell r="G40" t="str">
            <v>24</v>
          </cell>
        </row>
        <row r="41">
          <cell r="A41" t="str">
            <v>cpv</v>
          </cell>
          <cell r="G41" t="str">
            <v>47</v>
          </cell>
        </row>
        <row r="42">
          <cell r="A42" t="str">
            <v>cri</v>
          </cell>
          <cell r="G42" t="str">
            <v>144</v>
          </cell>
        </row>
        <row r="43">
          <cell r="A43" t="str">
            <v>cub</v>
          </cell>
          <cell r="G43" t="str">
            <v>66</v>
          </cell>
        </row>
        <row r="44">
          <cell r="A44" t="str">
            <v>cyp</v>
          </cell>
          <cell r="G44" t="str">
            <v>39</v>
          </cell>
        </row>
        <row r="45">
          <cell r="A45" t="str">
            <v>cze</v>
          </cell>
          <cell r="G45" t="str">
            <v>2</v>
          </cell>
        </row>
        <row r="46">
          <cell r="A46" t="str">
            <v>deu</v>
          </cell>
          <cell r="G46" t="str">
            <v>34</v>
          </cell>
        </row>
        <row r="47">
          <cell r="A47" t="str">
            <v>dji</v>
          </cell>
          <cell r="G47" t="str">
            <v>40</v>
          </cell>
        </row>
        <row r="48">
          <cell r="A48" t="str">
            <v>dma</v>
          </cell>
          <cell r="G48" t="str">
            <v>50</v>
          </cell>
        </row>
        <row r="49">
          <cell r="A49" t="str">
            <v>dnk</v>
          </cell>
          <cell r="G49" t="str">
            <v>26</v>
          </cell>
        </row>
        <row r="50">
          <cell r="A50" t="str">
            <v>dom</v>
          </cell>
          <cell r="G50" t="str">
            <v>47</v>
          </cell>
        </row>
        <row r="51">
          <cell r="A51" t="str">
            <v>dza</v>
          </cell>
          <cell r="G51" t="str">
            <v>65</v>
          </cell>
        </row>
        <row r="52">
          <cell r="A52" t="str">
            <v>ecu</v>
          </cell>
          <cell r="G52" t="str">
            <v>99</v>
          </cell>
        </row>
        <row r="53">
          <cell r="A53" t="str">
            <v>egy</v>
          </cell>
          <cell r="G53" t="str">
            <v>89</v>
          </cell>
        </row>
        <row r="54">
          <cell r="A54" t="str">
            <v>eri</v>
          </cell>
          <cell r="G54" t="str">
            <v>50</v>
          </cell>
        </row>
        <row r="55">
          <cell r="A55" t="str">
            <v>esp</v>
          </cell>
          <cell r="G55" t="str">
            <v>98</v>
          </cell>
        </row>
        <row r="56">
          <cell r="A56" t="str">
            <v>est</v>
          </cell>
          <cell r="G56" t="str">
            <v>4</v>
          </cell>
        </row>
        <row r="57">
          <cell r="A57" t="str">
            <v>eth</v>
          </cell>
          <cell r="G57" t="str">
            <v>16</v>
          </cell>
        </row>
        <row r="58">
          <cell r="A58" t="str">
            <v>fin</v>
          </cell>
          <cell r="G58" t="str">
            <v>5</v>
          </cell>
        </row>
        <row r="59">
          <cell r="A59" t="str">
            <v>fji</v>
          </cell>
          <cell r="G59" t="str">
            <v>33</v>
          </cell>
        </row>
        <row r="60">
          <cell r="A60" t="str">
            <v>fra</v>
          </cell>
          <cell r="G60" t="str">
            <v>75</v>
          </cell>
        </row>
        <row r="61">
          <cell r="A61" t="str">
            <v>fsm</v>
          </cell>
          <cell r="G61" t="str">
            <v>32</v>
          </cell>
        </row>
        <row r="62">
          <cell r="A62" t="str">
            <v>gab</v>
          </cell>
          <cell r="G62" t="str">
            <v>97</v>
          </cell>
        </row>
        <row r="63">
          <cell r="A63" t="str">
            <v>gbr</v>
          </cell>
          <cell r="G63" t="str">
            <v>60</v>
          </cell>
        </row>
        <row r="64">
          <cell r="A64" t="str">
            <v>geo</v>
          </cell>
          <cell r="G64" t="str">
            <v>13</v>
          </cell>
        </row>
        <row r="65">
          <cell r="A65" t="str">
            <v>gha</v>
          </cell>
          <cell r="G65" t="str">
            <v>87</v>
          </cell>
        </row>
        <row r="66">
          <cell r="A66" t="str">
            <v>gin</v>
          </cell>
          <cell r="G66" t="str">
            <v>119</v>
          </cell>
        </row>
        <row r="67">
          <cell r="A67" t="str">
            <v>gmb</v>
          </cell>
          <cell r="G67" t="str">
            <v>80</v>
          </cell>
        </row>
        <row r="68">
          <cell r="A68" t="str">
            <v>gnb</v>
          </cell>
          <cell r="G68" t="str">
            <v>70</v>
          </cell>
        </row>
        <row r="69">
          <cell r="A69" t="str">
            <v>gnq</v>
          </cell>
          <cell r="G69" t="str">
            <v>82</v>
          </cell>
        </row>
        <row r="70">
          <cell r="A70" t="str">
            <v>grc</v>
          </cell>
          <cell r="G70" t="str">
            <v>98</v>
          </cell>
        </row>
        <row r="71">
          <cell r="A71" t="str">
            <v>grd</v>
          </cell>
          <cell r="G71" t="str">
            <v>49</v>
          </cell>
        </row>
        <row r="72">
          <cell r="A72" t="str">
            <v>gtm</v>
          </cell>
          <cell r="G72" t="str">
            <v>96</v>
          </cell>
        </row>
        <row r="73">
          <cell r="A73" t="str">
            <v>guy</v>
          </cell>
          <cell r="G73" t="str">
            <v>68</v>
          </cell>
        </row>
        <row r="74">
          <cell r="A74" t="str">
            <v>hnd</v>
          </cell>
          <cell r="G74" t="str">
            <v>91</v>
          </cell>
        </row>
        <row r="75">
          <cell r="A75" t="str">
            <v>hrv</v>
          </cell>
          <cell r="G75" t="str">
            <v>80</v>
          </cell>
        </row>
        <row r="76">
          <cell r="A76" t="str">
            <v>hti</v>
          </cell>
          <cell r="G76" t="str">
            <v>61</v>
          </cell>
        </row>
        <row r="77">
          <cell r="A77" t="str">
            <v>hun</v>
          </cell>
          <cell r="G77" t="str">
            <v>11</v>
          </cell>
        </row>
        <row r="78">
          <cell r="A78" t="str">
            <v>idn</v>
          </cell>
          <cell r="G78" t="str">
            <v>366</v>
          </cell>
        </row>
        <row r="79">
          <cell r="A79" t="str">
            <v>ind</v>
          </cell>
          <cell r="G79" t="str">
            <v>290</v>
          </cell>
        </row>
        <row r="80">
          <cell r="A80" t="str">
            <v>irl</v>
          </cell>
          <cell r="G80" t="str">
            <v>41</v>
          </cell>
        </row>
        <row r="81">
          <cell r="A81" t="str">
            <v>irn</v>
          </cell>
          <cell r="G81" t="str">
            <v>84</v>
          </cell>
        </row>
        <row r="82">
          <cell r="A82" t="str">
            <v>irq</v>
          </cell>
          <cell r="G82" t="str">
            <v>44</v>
          </cell>
        </row>
        <row r="83">
          <cell r="A83" t="str">
            <v>isl</v>
          </cell>
          <cell r="G83" t="str">
            <v>20</v>
          </cell>
        </row>
        <row r="84">
          <cell r="A84" t="str">
            <v>isr</v>
          </cell>
          <cell r="G84" t="str">
            <v>84</v>
          </cell>
        </row>
        <row r="85">
          <cell r="A85" t="str">
            <v>ita</v>
          </cell>
          <cell r="G85" t="str">
            <v>72</v>
          </cell>
        </row>
        <row r="86">
          <cell r="A86" t="str">
            <v>jam</v>
          </cell>
          <cell r="G86" t="str">
            <v>48</v>
          </cell>
        </row>
        <row r="87">
          <cell r="A87" t="str">
            <v>jor</v>
          </cell>
          <cell r="G87" t="str">
            <v>28</v>
          </cell>
        </row>
        <row r="88">
          <cell r="A88" t="str">
            <v>jpn</v>
          </cell>
          <cell r="G88" t="str">
            <v>166</v>
          </cell>
        </row>
        <row r="89">
          <cell r="A89" t="str">
            <v>kaz</v>
          </cell>
          <cell r="G89" t="str">
            <v>24</v>
          </cell>
        </row>
        <row r="90">
          <cell r="A90" t="str">
            <v>ken</v>
          </cell>
          <cell r="G90" t="str">
            <v>99</v>
          </cell>
        </row>
        <row r="91">
          <cell r="A91" t="str">
            <v>kgz</v>
          </cell>
          <cell r="G91" t="str">
            <v>12</v>
          </cell>
        </row>
        <row r="92">
          <cell r="A92" t="str">
            <v>khm</v>
          </cell>
          <cell r="G92" t="str">
            <v>94</v>
          </cell>
        </row>
        <row r="93">
          <cell r="A93" t="str">
            <v>kir</v>
          </cell>
          <cell r="G93" t="str">
            <v>24</v>
          </cell>
        </row>
        <row r="94">
          <cell r="A94" t="str">
            <v>kna</v>
          </cell>
          <cell r="G94" t="str">
            <v>47</v>
          </cell>
        </row>
        <row r="95">
          <cell r="A95" t="str">
            <v>kor</v>
          </cell>
          <cell r="G95" t="str">
            <v>69</v>
          </cell>
        </row>
        <row r="96">
          <cell r="A96" t="str">
            <v>kwt</v>
          </cell>
          <cell r="G96" t="str">
            <v>37</v>
          </cell>
        </row>
        <row r="97">
          <cell r="A97" t="str">
            <v>lao</v>
          </cell>
          <cell r="G97" t="str">
            <v>56</v>
          </cell>
        </row>
        <row r="98">
          <cell r="A98" t="str">
            <v>lbn</v>
          </cell>
          <cell r="G98" t="str">
            <v>43</v>
          </cell>
        </row>
        <row r="99">
          <cell r="A99" t="str">
            <v>lbr</v>
          </cell>
          <cell r="G99" t="str">
            <v>93</v>
          </cell>
        </row>
        <row r="100">
          <cell r="A100" t="str">
            <v>lby</v>
          </cell>
          <cell r="G100" t="str">
            <v>51</v>
          </cell>
        </row>
        <row r="101">
          <cell r="A101" t="str">
            <v>lca</v>
          </cell>
          <cell r="G101" t="str">
            <v>47</v>
          </cell>
        </row>
        <row r="102">
          <cell r="A102" t="str">
            <v>lie</v>
          </cell>
        </row>
        <row r="103">
          <cell r="A103" t="str">
            <v>lka</v>
          </cell>
          <cell r="G103" t="str">
            <v>135</v>
          </cell>
        </row>
        <row r="104">
          <cell r="A104" t="str">
            <v>lso</v>
          </cell>
          <cell r="G104" t="str">
            <v>1</v>
          </cell>
        </row>
        <row r="105">
          <cell r="A105" t="str">
            <v>ltu</v>
          </cell>
          <cell r="G105" t="str">
            <v>6</v>
          </cell>
        </row>
        <row r="106">
          <cell r="A106" t="str">
            <v>lux</v>
          </cell>
          <cell r="G106" t="str">
            <v>1</v>
          </cell>
        </row>
        <row r="107">
          <cell r="A107" t="str">
            <v>lva</v>
          </cell>
          <cell r="G107" t="str">
            <v>6</v>
          </cell>
        </row>
        <row r="108">
          <cell r="A108" t="str">
            <v>mar</v>
          </cell>
          <cell r="G108" t="str">
            <v>85</v>
          </cell>
        </row>
        <row r="109">
          <cell r="A109" t="str">
            <v>mco</v>
          </cell>
          <cell r="G109" t="str">
            <v>37</v>
          </cell>
        </row>
        <row r="110">
          <cell r="A110" t="str">
            <v>mda</v>
          </cell>
          <cell r="G110" t="str">
            <v>8</v>
          </cell>
        </row>
        <row r="111">
          <cell r="A111" t="str">
            <v>mdg</v>
          </cell>
          <cell r="G111" t="str">
            <v>127</v>
          </cell>
        </row>
        <row r="112">
          <cell r="A112" t="str">
            <v>mdv</v>
          </cell>
          <cell r="G112" t="str">
            <v>41</v>
          </cell>
        </row>
        <row r="113">
          <cell r="A113" t="str">
            <v>mex</v>
          </cell>
          <cell r="G113" t="str">
            <v>308</v>
          </cell>
        </row>
        <row r="114">
          <cell r="A114" t="str">
            <v>mhl</v>
          </cell>
          <cell r="G114" t="str">
            <v>27</v>
          </cell>
        </row>
        <row r="115">
          <cell r="A115" t="str">
            <v>mkd</v>
          </cell>
          <cell r="G115" t="str">
            <v>13</v>
          </cell>
        </row>
        <row r="116">
          <cell r="A116" t="str">
            <v>mli</v>
          </cell>
          <cell r="G116" t="str">
            <v>1</v>
          </cell>
        </row>
        <row r="117">
          <cell r="A117" t="str">
            <v>mlt</v>
          </cell>
          <cell r="G117" t="str">
            <v>43</v>
          </cell>
        </row>
        <row r="118">
          <cell r="A118" t="str">
            <v>mmr</v>
          </cell>
          <cell r="G118" t="str">
            <v>98</v>
          </cell>
        </row>
        <row r="119">
          <cell r="A119" t="str">
            <v>mne</v>
          </cell>
          <cell r="G119" t="str">
            <v>52</v>
          </cell>
        </row>
        <row r="120">
          <cell r="A120" t="str">
            <v>mng</v>
          </cell>
          <cell r="G120" t="str">
            <v>1</v>
          </cell>
        </row>
        <row r="121">
          <cell r="A121" t="str">
            <v>moz</v>
          </cell>
          <cell r="G121" t="str">
            <v>105</v>
          </cell>
        </row>
        <row r="122">
          <cell r="A122" t="str">
            <v>mrt</v>
          </cell>
          <cell r="G122" t="str">
            <v>78</v>
          </cell>
        </row>
        <row r="123">
          <cell r="A123" t="str">
            <v>mus</v>
          </cell>
          <cell r="G123" t="str">
            <v>30</v>
          </cell>
        </row>
        <row r="124">
          <cell r="A124" t="str">
            <v>mwi</v>
          </cell>
          <cell r="G124" t="str">
            <v>37</v>
          </cell>
        </row>
        <row r="125">
          <cell r="A125" t="str">
            <v>mys</v>
          </cell>
          <cell r="G125" t="str">
            <v>183</v>
          </cell>
        </row>
        <row r="126">
          <cell r="A126" t="str">
            <v>nam</v>
          </cell>
          <cell r="G126" t="str">
            <v>47</v>
          </cell>
        </row>
        <row r="127">
          <cell r="A127" t="str">
            <v>ner</v>
          </cell>
          <cell r="G127" t="str">
            <v>3</v>
          </cell>
        </row>
        <row r="128">
          <cell r="A128" t="str">
            <v>nga</v>
          </cell>
          <cell r="G128" t="str">
            <v>102</v>
          </cell>
        </row>
        <row r="129">
          <cell r="A129" t="str">
            <v>nic</v>
          </cell>
          <cell r="G129" t="str">
            <v>97</v>
          </cell>
        </row>
        <row r="130">
          <cell r="A130" t="str">
            <v>nld</v>
          </cell>
          <cell r="G130" t="str">
            <v>22</v>
          </cell>
        </row>
        <row r="131">
          <cell r="A131" t="str">
            <v>nor</v>
          </cell>
          <cell r="G131" t="str">
            <v>32</v>
          </cell>
        </row>
        <row r="132">
          <cell r="A132" t="str">
            <v>npl</v>
          </cell>
          <cell r="G132" t="str">
            <v>11</v>
          </cell>
        </row>
        <row r="133">
          <cell r="A133" t="str">
            <v>nru</v>
          </cell>
          <cell r="G133" t="str">
            <v>20</v>
          </cell>
        </row>
        <row r="134">
          <cell r="A134" t="str">
            <v>nzl</v>
          </cell>
          <cell r="G134" t="str">
            <v>48</v>
          </cell>
        </row>
        <row r="135">
          <cell r="A135" t="str">
            <v>omn</v>
          </cell>
          <cell r="G135" t="str">
            <v>73</v>
          </cell>
        </row>
        <row r="136">
          <cell r="A136" t="str">
            <v>pak</v>
          </cell>
          <cell r="G136" t="str">
            <v>117</v>
          </cell>
        </row>
        <row r="137">
          <cell r="A137" t="str">
            <v>pan</v>
          </cell>
          <cell r="G137" t="str">
            <v>128</v>
          </cell>
        </row>
        <row r="138">
          <cell r="A138" t="str">
            <v>per</v>
          </cell>
          <cell r="G138" t="str">
            <v>90</v>
          </cell>
        </row>
        <row r="139">
          <cell r="A139" t="str">
            <v>phl</v>
          </cell>
          <cell r="G139" t="str">
            <v>143</v>
          </cell>
        </row>
        <row r="140">
          <cell r="A140" t="str">
            <v>plw</v>
          </cell>
          <cell r="G140" t="str">
            <v>29</v>
          </cell>
        </row>
        <row r="141">
          <cell r="A141" t="str">
            <v>png</v>
          </cell>
          <cell r="G141" t="str">
            <v>132</v>
          </cell>
        </row>
        <row r="142">
          <cell r="A142" t="str">
            <v>pol</v>
          </cell>
          <cell r="G142" t="str">
            <v>8</v>
          </cell>
        </row>
        <row r="143">
          <cell r="A143" t="str">
            <v>prk</v>
          </cell>
          <cell r="G143" t="str">
            <v>51</v>
          </cell>
        </row>
        <row r="144">
          <cell r="A144" t="str">
            <v>prt</v>
          </cell>
          <cell r="G144" t="str">
            <v>88</v>
          </cell>
        </row>
        <row r="145">
          <cell r="A145" t="str">
            <v>pry</v>
          </cell>
        </row>
        <row r="146">
          <cell r="A146" t="str">
            <v>pse</v>
          </cell>
          <cell r="G146" t="str">
            <v>16</v>
          </cell>
        </row>
        <row r="147">
          <cell r="A147" t="str">
            <v>qat</v>
          </cell>
          <cell r="G147" t="str">
            <v>42</v>
          </cell>
        </row>
        <row r="148">
          <cell r="A148" t="str">
            <v>rou</v>
          </cell>
          <cell r="G148" t="str">
            <v>21</v>
          </cell>
        </row>
        <row r="149">
          <cell r="A149" t="str">
            <v>rus</v>
          </cell>
          <cell r="G149" t="str">
            <v>64</v>
          </cell>
        </row>
        <row r="150">
          <cell r="A150" t="str">
            <v>rwa</v>
          </cell>
          <cell r="G150" t="str">
            <v>7</v>
          </cell>
        </row>
        <row r="151">
          <cell r="A151" t="str">
            <v>sau</v>
          </cell>
          <cell r="G151" t="str">
            <v>72</v>
          </cell>
        </row>
        <row r="152">
          <cell r="A152" t="str">
            <v>sdn</v>
          </cell>
          <cell r="G152" t="str">
            <v>52</v>
          </cell>
        </row>
        <row r="153">
          <cell r="A153" t="str">
            <v>sen</v>
          </cell>
          <cell r="G153" t="str">
            <v>89</v>
          </cell>
        </row>
        <row r="154">
          <cell r="A154" t="str">
            <v>sgp</v>
          </cell>
          <cell r="G154" t="str">
            <v>68</v>
          </cell>
        </row>
        <row r="155">
          <cell r="A155" t="str">
            <v>slb</v>
          </cell>
          <cell r="G155" t="str">
            <v>43</v>
          </cell>
        </row>
        <row r="156">
          <cell r="A156" t="str">
            <v>sle</v>
          </cell>
          <cell r="G156" t="str">
            <v>87</v>
          </cell>
        </row>
        <row r="157">
          <cell r="A157" t="str">
            <v>slv</v>
          </cell>
          <cell r="G157" t="str">
            <v>51</v>
          </cell>
        </row>
        <row r="158">
          <cell r="A158" t="str">
            <v>smr</v>
          </cell>
          <cell r="G158" t="str">
            <v>2</v>
          </cell>
        </row>
        <row r="159">
          <cell r="A159" t="str">
            <v>som</v>
          </cell>
          <cell r="G159" t="str">
            <v>59</v>
          </cell>
        </row>
        <row r="160">
          <cell r="A160" t="str">
            <v>srb</v>
          </cell>
          <cell r="G160" t="str">
            <v>14</v>
          </cell>
        </row>
        <row r="161">
          <cell r="A161" t="str">
            <v>ssd</v>
          </cell>
        </row>
        <row r="162">
          <cell r="A162" t="str">
            <v>stp</v>
          </cell>
          <cell r="G162" t="str">
            <v>38</v>
          </cell>
        </row>
        <row r="163">
          <cell r="A163" t="str">
            <v>sur</v>
          </cell>
          <cell r="G163" t="str">
            <v>63</v>
          </cell>
        </row>
        <row r="164">
          <cell r="A164" t="str">
            <v>svk</v>
          </cell>
          <cell r="G164" t="str">
            <v>7</v>
          </cell>
        </row>
        <row r="165">
          <cell r="A165" t="str">
            <v>svn</v>
          </cell>
          <cell r="G165" t="str">
            <v>52</v>
          </cell>
        </row>
        <row r="166">
          <cell r="A166" t="str">
            <v>swe</v>
          </cell>
          <cell r="G166" t="str">
            <v>24</v>
          </cell>
        </row>
        <row r="167">
          <cell r="A167" t="str">
            <v>swz</v>
          </cell>
          <cell r="G167" t="str">
            <v>5</v>
          </cell>
        </row>
        <row r="168">
          <cell r="A168" t="str">
            <v>syc</v>
          </cell>
          <cell r="G168" t="str">
            <v>41</v>
          </cell>
        </row>
        <row r="169">
          <cell r="A169" t="str">
            <v>syr</v>
          </cell>
          <cell r="G169" t="str">
            <v>64</v>
          </cell>
        </row>
        <row r="170">
          <cell r="A170" t="str">
            <v>tcd</v>
          </cell>
          <cell r="G170" t="str">
            <v>1</v>
          </cell>
        </row>
        <row r="171">
          <cell r="A171" t="str">
            <v>tgo</v>
          </cell>
          <cell r="G171" t="str">
            <v>67</v>
          </cell>
        </row>
        <row r="172">
          <cell r="A172" t="str">
            <v>tha</v>
          </cell>
          <cell r="G172" t="str">
            <v>153</v>
          </cell>
        </row>
        <row r="173">
          <cell r="A173" t="str">
            <v>tjk</v>
          </cell>
          <cell r="G173" t="str">
            <v>7</v>
          </cell>
        </row>
        <row r="174">
          <cell r="A174" t="str">
            <v>tkm</v>
          </cell>
          <cell r="G174" t="str">
            <v>14</v>
          </cell>
        </row>
        <row r="175">
          <cell r="A175" t="str">
            <v>tls</v>
          </cell>
          <cell r="G175" t="str">
            <v>34</v>
          </cell>
        </row>
        <row r="176">
          <cell r="A176" t="str">
            <v>ton</v>
          </cell>
          <cell r="G176" t="str">
            <v>29</v>
          </cell>
        </row>
        <row r="177">
          <cell r="A177" t="str">
            <v>tto</v>
          </cell>
          <cell r="G177" t="str">
            <v>62</v>
          </cell>
        </row>
        <row r="178">
          <cell r="A178" t="str">
            <v>tun</v>
          </cell>
          <cell r="G178" t="str">
            <v>58</v>
          </cell>
        </row>
        <row r="179">
          <cell r="A179" t="str">
            <v>tur</v>
          </cell>
          <cell r="G179" t="str">
            <v>148</v>
          </cell>
        </row>
        <row r="180">
          <cell r="A180" t="str">
            <v>tuv</v>
          </cell>
          <cell r="G180" t="str">
            <v>21</v>
          </cell>
        </row>
        <row r="181">
          <cell r="A181" t="str">
            <v>tza</v>
          </cell>
          <cell r="G181" t="str">
            <v>219</v>
          </cell>
        </row>
        <row r="182">
          <cell r="A182" t="str">
            <v>uga</v>
          </cell>
          <cell r="G182" t="str">
            <v>62</v>
          </cell>
        </row>
        <row r="183">
          <cell r="A183" t="str">
            <v>ukr</v>
          </cell>
          <cell r="G183" t="str">
            <v>25</v>
          </cell>
        </row>
        <row r="184">
          <cell r="A184" t="str">
            <v>ury</v>
          </cell>
          <cell r="G184" t="str">
            <v>71</v>
          </cell>
        </row>
        <row r="185">
          <cell r="A185" t="str">
            <v>usa</v>
          </cell>
          <cell r="G185" t="str">
            <v>283</v>
          </cell>
        </row>
        <row r="186">
          <cell r="A186" t="str">
            <v>uzb</v>
          </cell>
          <cell r="G186" t="str">
            <v>9</v>
          </cell>
        </row>
        <row r="187">
          <cell r="A187" t="str">
            <v>vct</v>
          </cell>
          <cell r="G187" t="str">
            <v>48</v>
          </cell>
        </row>
        <row r="188">
          <cell r="A188" t="str">
            <v>ven</v>
          </cell>
          <cell r="G188" t="str">
            <v>105</v>
          </cell>
        </row>
        <row r="189">
          <cell r="A189" t="str">
            <v>vnm</v>
          </cell>
          <cell r="G189" t="str">
            <v>141</v>
          </cell>
        </row>
        <row r="190">
          <cell r="A190" t="str">
            <v>vut</v>
          </cell>
          <cell r="G190" t="str">
            <v>30</v>
          </cell>
        </row>
        <row r="191">
          <cell r="A191" t="str">
            <v>wsm</v>
          </cell>
          <cell r="G191" t="str">
            <v>26</v>
          </cell>
        </row>
        <row r="192">
          <cell r="A192" t="str">
            <v>yem</v>
          </cell>
          <cell r="G192" t="str">
            <v>67</v>
          </cell>
        </row>
        <row r="193">
          <cell r="A193" t="str">
            <v>zaf</v>
          </cell>
          <cell r="G193" t="str">
            <v>153</v>
          </cell>
        </row>
        <row r="194">
          <cell r="A194" t="str">
            <v>zmb</v>
          </cell>
          <cell r="G194" t="str">
            <v>26</v>
          </cell>
        </row>
        <row r="195">
          <cell r="A195" t="str">
            <v>zwe</v>
          </cell>
          <cell r="G195" t="str">
            <v>5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_bir_thrd_no"/>
    </sheetNames>
    <sheetDataSet>
      <sheetData sheetId="0">
        <row r="2">
          <cell r="A2" t="str">
            <v>afg</v>
          </cell>
          <cell r="G2" t="str">
            <v>16</v>
          </cell>
        </row>
        <row r="3">
          <cell r="A3" t="str">
            <v>ago</v>
          </cell>
          <cell r="G3" t="str">
            <v>33</v>
          </cell>
        </row>
        <row r="4">
          <cell r="A4" t="str">
            <v>alb</v>
          </cell>
          <cell r="G4" t="str">
            <v>8</v>
          </cell>
        </row>
        <row r="5">
          <cell r="A5" t="str">
            <v>and</v>
          </cell>
          <cell r="G5" t="str">
            <v>3</v>
          </cell>
        </row>
        <row r="6">
          <cell r="A6" t="str">
            <v>are</v>
          </cell>
          <cell r="G6" t="str">
            <v>13</v>
          </cell>
        </row>
        <row r="7">
          <cell r="A7" t="str">
            <v>arg</v>
          </cell>
          <cell r="G7" t="str">
            <v>54</v>
          </cell>
        </row>
        <row r="8">
          <cell r="A8" t="str">
            <v>arm</v>
          </cell>
          <cell r="G8" t="str">
            <v>15</v>
          </cell>
        </row>
        <row r="9">
          <cell r="A9" t="str">
            <v>atg</v>
          </cell>
          <cell r="G9" t="str">
            <v>3</v>
          </cell>
        </row>
        <row r="10">
          <cell r="A10" t="str">
            <v>aus</v>
          </cell>
          <cell r="G10" t="str">
            <v>66</v>
          </cell>
        </row>
        <row r="11">
          <cell r="A11" t="str">
            <v>aut</v>
          </cell>
          <cell r="G11" t="str">
            <v>13</v>
          </cell>
        </row>
        <row r="12">
          <cell r="A12" t="str">
            <v>aze</v>
          </cell>
          <cell r="G12" t="str">
            <v>18</v>
          </cell>
        </row>
        <row r="13">
          <cell r="A13" t="str">
            <v>bdi</v>
          </cell>
          <cell r="G13" t="str">
            <v>18</v>
          </cell>
        </row>
        <row r="14">
          <cell r="A14" t="str">
            <v>bel</v>
          </cell>
          <cell r="G14" t="str">
            <v>8</v>
          </cell>
        </row>
        <row r="15">
          <cell r="A15" t="str">
            <v>ben</v>
          </cell>
          <cell r="G15" t="str">
            <v>14</v>
          </cell>
        </row>
        <row r="16">
          <cell r="A16" t="str">
            <v>bfa</v>
          </cell>
          <cell r="G16" t="str">
            <v>15</v>
          </cell>
        </row>
        <row r="17">
          <cell r="A17" t="str">
            <v>bgd</v>
          </cell>
          <cell r="G17" t="str">
            <v>36</v>
          </cell>
        </row>
        <row r="18">
          <cell r="A18" t="str">
            <v>bgr</v>
          </cell>
          <cell r="G18" t="str">
            <v>18</v>
          </cell>
        </row>
        <row r="19">
          <cell r="A19" t="str">
            <v>bhr</v>
          </cell>
          <cell r="G19" t="str">
            <v>8</v>
          </cell>
        </row>
        <row r="20">
          <cell r="A20" t="str">
            <v>bhs</v>
          </cell>
          <cell r="G20" t="str">
            <v>9</v>
          </cell>
        </row>
        <row r="21">
          <cell r="A21" t="str">
            <v>bih</v>
          </cell>
          <cell r="G21" t="str">
            <v>9</v>
          </cell>
        </row>
        <row r="22">
          <cell r="A22" t="str">
            <v>blr</v>
          </cell>
          <cell r="G22" t="str">
            <v>11</v>
          </cell>
        </row>
        <row r="23">
          <cell r="A23" t="str">
            <v>blz</v>
          </cell>
          <cell r="G23" t="str">
            <v>8</v>
          </cell>
        </row>
        <row r="24">
          <cell r="A24" t="str">
            <v>bol</v>
          </cell>
          <cell r="G24" t="str">
            <v>47</v>
          </cell>
        </row>
        <row r="25">
          <cell r="A25" t="str">
            <v>bra</v>
          </cell>
          <cell r="G25" t="str">
            <v>155</v>
          </cell>
        </row>
        <row r="26">
          <cell r="A26" t="str">
            <v>brb</v>
          </cell>
          <cell r="G26" t="str">
            <v>3</v>
          </cell>
        </row>
        <row r="27">
          <cell r="A27" t="str">
            <v>brn</v>
          </cell>
          <cell r="G27" t="str">
            <v>39</v>
          </cell>
        </row>
        <row r="28">
          <cell r="A28" t="str">
            <v>btn</v>
          </cell>
          <cell r="G28" t="str">
            <v>19</v>
          </cell>
        </row>
        <row r="29">
          <cell r="A29" t="str">
            <v>bwa</v>
          </cell>
          <cell r="G29" t="str">
            <v>18</v>
          </cell>
        </row>
        <row r="30">
          <cell r="A30" t="str">
            <v>caf</v>
          </cell>
          <cell r="G30" t="str">
            <v>18</v>
          </cell>
        </row>
        <row r="31">
          <cell r="A31" t="str">
            <v>can</v>
          </cell>
          <cell r="G31" t="str">
            <v>22</v>
          </cell>
        </row>
        <row r="32">
          <cell r="A32" t="str">
            <v>che</v>
          </cell>
          <cell r="G32" t="str">
            <v>10</v>
          </cell>
        </row>
        <row r="33">
          <cell r="A33" t="str">
            <v>chl</v>
          </cell>
          <cell r="G33" t="str">
            <v>34</v>
          </cell>
        </row>
        <row r="34">
          <cell r="A34" t="str">
            <v>chn</v>
          </cell>
          <cell r="G34" t="str">
            <v>94</v>
          </cell>
        </row>
        <row r="35">
          <cell r="A35" t="str">
            <v>civ</v>
          </cell>
          <cell r="G35" t="str">
            <v>26</v>
          </cell>
        </row>
        <row r="36">
          <cell r="A36" t="str">
            <v>cmr</v>
          </cell>
          <cell r="G36" t="str">
            <v>31</v>
          </cell>
        </row>
        <row r="37">
          <cell r="A37" t="str">
            <v>cod</v>
          </cell>
          <cell r="G37" t="str">
            <v>40</v>
          </cell>
        </row>
        <row r="38">
          <cell r="A38" t="str">
            <v>cog</v>
          </cell>
          <cell r="G38" t="str">
            <v>6</v>
          </cell>
        </row>
        <row r="39">
          <cell r="A39" t="str">
            <v>col</v>
          </cell>
          <cell r="G39" t="str">
            <v>102</v>
          </cell>
        </row>
        <row r="40">
          <cell r="A40" t="str">
            <v>com</v>
          </cell>
          <cell r="G40" t="str">
            <v>13</v>
          </cell>
        </row>
        <row r="41">
          <cell r="A41" t="str">
            <v>cpv</v>
          </cell>
          <cell r="G41" t="str">
            <v>7</v>
          </cell>
        </row>
        <row r="42">
          <cell r="A42" t="str">
            <v>cri</v>
          </cell>
          <cell r="G42" t="str">
            <v>25</v>
          </cell>
        </row>
        <row r="43">
          <cell r="A43" t="str">
            <v>cub</v>
          </cell>
          <cell r="G43" t="str">
            <v>17</v>
          </cell>
        </row>
        <row r="44">
          <cell r="A44" t="str">
            <v>cyp</v>
          </cell>
          <cell r="G44" t="str">
            <v>9</v>
          </cell>
        </row>
        <row r="45">
          <cell r="A45" t="str">
            <v>cze</v>
          </cell>
          <cell r="G45" t="str">
            <v>10</v>
          </cell>
        </row>
        <row r="46">
          <cell r="A46" t="str">
            <v>deu</v>
          </cell>
          <cell r="G46" t="str">
            <v>12</v>
          </cell>
        </row>
        <row r="47">
          <cell r="A47" t="str">
            <v>dji</v>
          </cell>
          <cell r="G47" t="str">
            <v>15</v>
          </cell>
        </row>
        <row r="48">
          <cell r="A48" t="str">
            <v>dma</v>
          </cell>
          <cell r="G48" t="str">
            <v>6</v>
          </cell>
        </row>
        <row r="49">
          <cell r="A49" t="str">
            <v>dnk</v>
          </cell>
          <cell r="G49" t="str">
            <v>10</v>
          </cell>
        </row>
        <row r="50">
          <cell r="A50" t="str">
            <v>dom</v>
          </cell>
          <cell r="G50" t="str">
            <v>17</v>
          </cell>
        </row>
        <row r="51">
          <cell r="A51" t="str">
            <v>dza</v>
          </cell>
          <cell r="G51" t="str">
            <v>20</v>
          </cell>
        </row>
        <row r="52">
          <cell r="A52" t="str">
            <v>ecu</v>
          </cell>
          <cell r="G52" t="str">
            <v>86</v>
          </cell>
        </row>
        <row r="53">
          <cell r="A53" t="str">
            <v>egy</v>
          </cell>
          <cell r="G53" t="str">
            <v>17</v>
          </cell>
        </row>
        <row r="54">
          <cell r="A54" t="str">
            <v>eri</v>
          </cell>
          <cell r="G54" t="str">
            <v>22</v>
          </cell>
        </row>
        <row r="55">
          <cell r="A55" t="str">
            <v>esp</v>
          </cell>
          <cell r="G55" t="str">
            <v>24</v>
          </cell>
        </row>
        <row r="56">
          <cell r="A56" t="str">
            <v>est</v>
          </cell>
          <cell r="G56" t="str">
            <v>11</v>
          </cell>
        </row>
        <row r="57">
          <cell r="A57" t="str">
            <v>eth</v>
          </cell>
          <cell r="G57" t="str">
            <v>35</v>
          </cell>
        </row>
        <row r="58">
          <cell r="A58" t="str">
            <v>fin</v>
          </cell>
          <cell r="G58" t="str">
            <v>12</v>
          </cell>
        </row>
        <row r="59">
          <cell r="A59" t="str">
            <v>fji</v>
          </cell>
          <cell r="G59" t="str">
            <v>14</v>
          </cell>
        </row>
        <row r="60">
          <cell r="A60" t="str">
            <v>fra</v>
          </cell>
          <cell r="G60" t="str">
            <v>19</v>
          </cell>
        </row>
        <row r="61">
          <cell r="A61" t="str">
            <v>fsm</v>
          </cell>
          <cell r="G61" t="str">
            <v>13</v>
          </cell>
        </row>
        <row r="62">
          <cell r="A62" t="str">
            <v>gab</v>
          </cell>
          <cell r="G62" t="str">
            <v>5</v>
          </cell>
        </row>
        <row r="63">
          <cell r="A63" t="str">
            <v>gbr</v>
          </cell>
          <cell r="G63" t="str">
            <v>11</v>
          </cell>
        </row>
        <row r="64">
          <cell r="A64" t="str">
            <v>geo</v>
          </cell>
          <cell r="G64" t="str">
            <v>15</v>
          </cell>
        </row>
        <row r="65">
          <cell r="A65" t="str">
            <v>gha</v>
          </cell>
          <cell r="G65" t="str">
            <v>25</v>
          </cell>
        </row>
        <row r="66">
          <cell r="A66" t="str">
            <v>gin</v>
          </cell>
          <cell r="G66" t="str">
            <v>22</v>
          </cell>
        </row>
        <row r="67">
          <cell r="A67" t="str">
            <v>gmb</v>
          </cell>
          <cell r="G67" t="str">
            <v>20</v>
          </cell>
        </row>
        <row r="68">
          <cell r="A68" t="str">
            <v>gnb</v>
          </cell>
          <cell r="G68" t="str">
            <v>15</v>
          </cell>
        </row>
        <row r="69">
          <cell r="A69" t="str">
            <v>gnq</v>
          </cell>
          <cell r="G69" t="str">
            <v>3</v>
          </cell>
        </row>
        <row r="70">
          <cell r="A70" t="str">
            <v>grc</v>
          </cell>
          <cell r="G70" t="str">
            <v>19</v>
          </cell>
        </row>
        <row r="71">
          <cell r="A71" t="str">
            <v>grd</v>
          </cell>
          <cell r="G71" t="str">
            <v>2</v>
          </cell>
        </row>
        <row r="72">
          <cell r="A72" t="str">
            <v>gtm</v>
          </cell>
          <cell r="G72" t="str">
            <v>19</v>
          </cell>
        </row>
        <row r="73">
          <cell r="A73" t="str">
            <v>guy</v>
          </cell>
          <cell r="G73" t="str">
            <v>11</v>
          </cell>
        </row>
        <row r="74">
          <cell r="A74" t="str">
            <v>hnd</v>
          </cell>
          <cell r="G74" t="str">
            <v>18</v>
          </cell>
        </row>
        <row r="75">
          <cell r="A75" t="str">
            <v>hrv</v>
          </cell>
          <cell r="G75" t="str">
            <v>16</v>
          </cell>
        </row>
        <row r="76">
          <cell r="A76" t="str">
            <v>hti</v>
          </cell>
          <cell r="G76" t="str">
            <v>17</v>
          </cell>
        </row>
        <row r="77">
          <cell r="A77" t="str">
            <v>hun</v>
          </cell>
          <cell r="G77" t="str">
            <v>14</v>
          </cell>
        </row>
        <row r="78">
          <cell r="A78" t="str">
            <v>idn</v>
          </cell>
          <cell r="G78" t="str">
            <v>161</v>
          </cell>
        </row>
        <row r="79">
          <cell r="A79" t="str">
            <v>ind</v>
          </cell>
          <cell r="G79" t="str">
            <v>92</v>
          </cell>
        </row>
        <row r="80">
          <cell r="A80" t="str">
            <v>irl</v>
          </cell>
          <cell r="G80" t="str">
            <v>9</v>
          </cell>
        </row>
        <row r="81">
          <cell r="A81" t="str">
            <v>irn</v>
          </cell>
          <cell r="G81" t="str">
            <v>29</v>
          </cell>
        </row>
        <row r="82">
          <cell r="A82" t="str">
            <v>irq</v>
          </cell>
          <cell r="G82" t="str">
            <v>18</v>
          </cell>
        </row>
        <row r="83">
          <cell r="A83" t="str">
            <v>isl</v>
          </cell>
          <cell r="G83" t="str">
            <v>7</v>
          </cell>
        </row>
        <row r="84">
          <cell r="A84" t="str">
            <v>isr</v>
          </cell>
          <cell r="G84" t="str">
            <v>19</v>
          </cell>
        </row>
        <row r="85">
          <cell r="A85" t="str">
            <v>ita</v>
          </cell>
          <cell r="G85" t="str">
            <v>19</v>
          </cell>
        </row>
        <row r="86">
          <cell r="A86" t="str">
            <v>jam</v>
          </cell>
          <cell r="G86" t="str">
            <v>10</v>
          </cell>
        </row>
        <row r="87">
          <cell r="A87" t="str">
            <v>jor</v>
          </cell>
          <cell r="G87" t="str">
            <v>16</v>
          </cell>
        </row>
        <row r="88">
          <cell r="A88" t="str">
            <v>jpn</v>
          </cell>
          <cell r="G88" t="str">
            <v>50</v>
          </cell>
        </row>
        <row r="89">
          <cell r="A89" t="str">
            <v>kaz</v>
          </cell>
          <cell r="G89" t="str">
            <v>28</v>
          </cell>
        </row>
        <row r="90">
          <cell r="A90" t="str">
            <v>ken</v>
          </cell>
          <cell r="G90" t="str">
            <v>45</v>
          </cell>
        </row>
        <row r="91">
          <cell r="A91" t="str">
            <v>kgz</v>
          </cell>
          <cell r="G91" t="str">
            <v>15</v>
          </cell>
        </row>
        <row r="92">
          <cell r="A92" t="str">
            <v>khm</v>
          </cell>
          <cell r="G92" t="str">
            <v>32</v>
          </cell>
        </row>
        <row r="93">
          <cell r="A93" t="str">
            <v>kir</v>
          </cell>
          <cell r="G93" t="str">
            <v>6</v>
          </cell>
        </row>
        <row r="94">
          <cell r="A94" t="str">
            <v>kna</v>
          </cell>
          <cell r="G94" t="str">
            <v>2</v>
          </cell>
        </row>
        <row r="95">
          <cell r="A95" t="str">
            <v>kor</v>
          </cell>
          <cell r="G95" t="str">
            <v>34</v>
          </cell>
        </row>
        <row r="96">
          <cell r="A96" t="str">
            <v>kwt</v>
          </cell>
          <cell r="G96" t="str">
            <v>11</v>
          </cell>
        </row>
        <row r="97">
          <cell r="A97" t="str">
            <v>lao</v>
          </cell>
          <cell r="G97" t="str">
            <v>30</v>
          </cell>
        </row>
        <row r="98">
          <cell r="A98" t="str">
            <v>lbn</v>
          </cell>
          <cell r="G98" t="str">
            <v>12</v>
          </cell>
        </row>
        <row r="99">
          <cell r="A99" t="str">
            <v>lbr</v>
          </cell>
          <cell r="G99" t="str">
            <v>14</v>
          </cell>
        </row>
        <row r="100">
          <cell r="A100" t="str">
            <v>lby</v>
          </cell>
          <cell r="G100" t="str">
            <v>11</v>
          </cell>
        </row>
        <row r="101">
          <cell r="A101" t="str">
            <v>lca</v>
          </cell>
          <cell r="G101" t="str">
            <v>7</v>
          </cell>
        </row>
        <row r="102">
          <cell r="A102" t="str">
            <v>lie</v>
          </cell>
          <cell r="G102" t="str">
            <v>3</v>
          </cell>
        </row>
        <row r="103">
          <cell r="A103" t="str">
            <v>lka</v>
          </cell>
          <cell r="G103" t="str">
            <v>14</v>
          </cell>
        </row>
        <row r="104">
          <cell r="A104" t="str">
            <v>lso</v>
          </cell>
          <cell r="G104" t="str">
            <v>9</v>
          </cell>
        </row>
        <row r="105">
          <cell r="A105" t="str">
            <v>ltu</v>
          </cell>
          <cell r="G105" t="str">
            <v>11</v>
          </cell>
        </row>
        <row r="106">
          <cell r="A106" t="str">
            <v>lux</v>
          </cell>
          <cell r="G106" t="str">
            <v>3</v>
          </cell>
        </row>
        <row r="107">
          <cell r="A107" t="str">
            <v>lva</v>
          </cell>
          <cell r="G107" t="str">
            <v>13</v>
          </cell>
        </row>
        <row r="108">
          <cell r="A108" t="str">
            <v>mar</v>
          </cell>
          <cell r="G108" t="str">
            <v>22</v>
          </cell>
        </row>
        <row r="109">
          <cell r="A109" t="str">
            <v>mco</v>
          </cell>
        </row>
        <row r="110">
          <cell r="A110" t="str">
            <v>mda</v>
          </cell>
          <cell r="G110" t="str">
            <v>12</v>
          </cell>
        </row>
        <row r="111">
          <cell r="A111" t="str">
            <v>mdg</v>
          </cell>
          <cell r="G111" t="str">
            <v>37</v>
          </cell>
        </row>
        <row r="112">
          <cell r="A112" t="str">
            <v>mdv</v>
          </cell>
        </row>
        <row r="113">
          <cell r="A113" t="str">
            <v>mex</v>
          </cell>
          <cell r="G113" t="str">
            <v>68</v>
          </cell>
        </row>
        <row r="114">
          <cell r="A114" t="str">
            <v>mhl</v>
          </cell>
          <cell r="G114" t="str">
            <v>5</v>
          </cell>
        </row>
        <row r="115">
          <cell r="A115" t="str">
            <v>mkd</v>
          </cell>
          <cell r="G115" t="str">
            <v>14</v>
          </cell>
        </row>
        <row r="116">
          <cell r="A116" t="str">
            <v>mli</v>
          </cell>
          <cell r="G116" t="str">
            <v>20</v>
          </cell>
        </row>
        <row r="117">
          <cell r="A117" t="str">
            <v>mlt</v>
          </cell>
          <cell r="G117" t="str">
            <v>6</v>
          </cell>
        </row>
        <row r="118">
          <cell r="A118" t="str">
            <v>mmr</v>
          </cell>
          <cell r="G118" t="str">
            <v>57</v>
          </cell>
        </row>
        <row r="119">
          <cell r="A119" t="str">
            <v>mne</v>
          </cell>
          <cell r="G119" t="str">
            <v>13</v>
          </cell>
        </row>
        <row r="120">
          <cell r="A120" t="str">
            <v>mng</v>
          </cell>
          <cell r="G120" t="str">
            <v>24</v>
          </cell>
        </row>
        <row r="121">
          <cell r="A121" t="str">
            <v>moz</v>
          </cell>
          <cell r="G121" t="str">
            <v>32</v>
          </cell>
        </row>
        <row r="122">
          <cell r="A122" t="str">
            <v>mrt</v>
          </cell>
          <cell r="G122" t="str">
            <v>24</v>
          </cell>
        </row>
        <row r="123">
          <cell r="A123" t="str">
            <v>mus</v>
          </cell>
          <cell r="G123" t="str">
            <v>12</v>
          </cell>
        </row>
        <row r="124">
          <cell r="A124" t="str">
            <v>mwi</v>
          </cell>
          <cell r="G124" t="str">
            <v>20</v>
          </cell>
        </row>
        <row r="125">
          <cell r="A125" t="str">
            <v>mys</v>
          </cell>
          <cell r="G125" t="str">
            <v>67</v>
          </cell>
        </row>
        <row r="126">
          <cell r="A126" t="str">
            <v>nam</v>
          </cell>
          <cell r="G126" t="str">
            <v>33</v>
          </cell>
        </row>
        <row r="127">
          <cell r="A127" t="str">
            <v>ner</v>
          </cell>
          <cell r="G127" t="str">
            <v>16</v>
          </cell>
        </row>
        <row r="128">
          <cell r="A128" t="str">
            <v>nga</v>
          </cell>
          <cell r="G128" t="str">
            <v>23</v>
          </cell>
        </row>
        <row r="129">
          <cell r="A129" t="str">
            <v>nic</v>
          </cell>
          <cell r="G129" t="str">
            <v>19</v>
          </cell>
        </row>
        <row r="130">
          <cell r="A130" t="str">
            <v>nld</v>
          </cell>
          <cell r="G130" t="str">
            <v>10</v>
          </cell>
        </row>
        <row r="131">
          <cell r="A131" t="str">
            <v>nor</v>
          </cell>
          <cell r="G131" t="str">
            <v>11</v>
          </cell>
        </row>
        <row r="132">
          <cell r="A132" t="str">
            <v>npl</v>
          </cell>
          <cell r="G132" t="str">
            <v>38</v>
          </cell>
        </row>
        <row r="133">
          <cell r="A133" t="str">
            <v>nru</v>
          </cell>
          <cell r="G133" t="str">
            <v>3</v>
          </cell>
        </row>
        <row r="134">
          <cell r="A134" t="str">
            <v>nzl</v>
          </cell>
          <cell r="G134" t="str">
            <v>67</v>
          </cell>
        </row>
        <row r="135">
          <cell r="A135" t="str">
            <v>omn</v>
          </cell>
          <cell r="G135" t="str">
            <v>13</v>
          </cell>
        </row>
        <row r="136">
          <cell r="A136" t="str">
            <v>pak</v>
          </cell>
          <cell r="G136" t="str">
            <v>33</v>
          </cell>
        </row>
        <row r="137">
          <cell r="A137" t="str">
            <v>pan</v>
          </cell>
          <cell r="G137" t="str">
            <v>19</v>
          </cell>
        </row>
        <row r="138">
          <cell r="A138" t="str">
            <v>per</v>
          </cell>
          <cell r="G138" t="str">
            <v>93</v>
          </cell>
        </row>
        <row r="139">
          <cell r="A139" t="str">
            <v>phl</v>
          </cell>
          <cell r="G139" t="str">
            <v>91</v>
          </cell>
        </row>
        <row r="140">
          <cell r="A140" t="str">
            <v>plw</v>
          </cell>
          <cell r="G140" t="str">
            <v>6</v>
          </cell>
        </row>
        <row r="141">
          <cell r="A141" t="str">
            <v>png</v>
          </cell>
          <cell r="G141" t="str">
            <v>38</v>
          </cell>
        </row>
        <row r="142">
          <cell r="A142" t="str">
            <v>pol</v>
          </cell>
          <cell r="G142" t="str">
            <v>13</v>
          </cell>
        </row>
        <row r="143">
          <cell r="A143" t="str">
            <v>prk</v>
          </cell>
          <cell r="G143" t="str">
            <v>30</v>
          </cell>
        </row>
        <row r="144">
          <cell r="A144" t="str">
            <v>prt</v>
          </cell>
          <cell r="G144" t="str">
            <v>17</v>
          </cell>
        </row>
        <row r="145">
          <cell r="A145" t="str">
            <v>pry</v>
          </cell>
          <cell r="G145" t="str">
            <v>28</v>
          </cell>
        </row>
        <row r="146">
          <cell r="A146" t="str">
            <v>pse</v>
          </cell>
          <cell r="G146" t="str">
            <v>16</v>
          </cell>
        </row>
        <row r="147">
          <cell r="A147" t="str">
            <v>qat</v>
          </cell>
          <cell r="G147" t="str">
            <v>10</v>
          </cell>
        </row>
        <row r="148">
          <cell r="A148" t="str">
            <v>rou</v>
          </cell>
          <cell r="G148" t="str">
            <v>18</v>
          </cell>
        </row>
        <row r="149">
          <cell r="A149" t="str">
            <v>rus</v>
          </cell>
          <cell r="G149" t="str">
            <v>58</v>
          </cell>
        </row>
        <row r="150">
          <cell r="A150" t="str">
            <v>rwa</v>
          </cell>
          <cell r="G150" t="str">
            <v>20</v>
          </cell>
        </row>
        <row r="151">
          <cell r="A151" t="str">
            <v>sau</v>
          </cell>
          <cell r="G151" t="str">
            <v>19</v>
          </cell>
        </row>
        <row r="152">
          <cell r="A152" t="str">
            <v>sdn</v>
          </cell>
          <cell r="G152" t="str">
            <v>27</v>
          </cell>
        </row>
        <row r="153">
          <cell r="A153" t="str">
            <v>sen</v>
          </cell>
          <cell r="G153" t="str">
            <v>24</v>
          </cell>
        </row>
        <row r="154">
          <cell r="A154" t="str">
            <v>sgp</v>
          </cell>
          <cell r="G154" t="str">
            <v>23</v>
          </cell>
        </row>
        <row r="155">
          <cell r="A155" t="str">
            <v>slb</v>
          </cell>
          <cell r="G155" t="str">
            <v>21</v>
          </cell>
        </row>
        <row r="156">
          <cell r="A156" t="str">
            <v>sle</v>
          </cell>
          <cell r="G156" t="str">
            <v>17</v>
          </cell>
        </row>
        <row r="157">
          <cell r="A157" t="str">
            <v>slv</v>
          </cell>
          <cell r="G157" t="str">
            <v>9</v>
          </cell>
        </row>
        <row r="158">
          <cell r="A158" t="str">
            <v>smr</v>
          </cell>
          <cell r="G158" t="str">
            <v>1</v>
          </cell>
        </row>
        <row r="159">
          <cell r="A159" t="str">
            <v>som</v>
          </cell>
          <cell r="G159" t="str">
            <v>20</v>
          </cell>
        </row>
        <row r="160">
          <cell r="A160" t="str">
            <v>srb</v>
          </cell>
          <cell r="G160" t="str">
            <v>14</v>
          </cell>
        </row>
        <row r="161">
          <cell r="A161" t="str">
            <v>ssd</v>
          </cell>
          <cell r="G161" t="str">
            <v>23</v>
          </cell>
        </row>
        <row r="162">
          <cell r="A162" t="str">
            <v>stp</v>
          </cell>
          <cell r="G162" t="str">
            <v>12</v>
          </cell>
        </row>
        <row r="163">
          <cell r="A163" t="str">
            <v>sur</v>
          </cell>
          <cell r="G163" t="str">
            <v>5</v>
          </cell>
        </row>
        <row r="164">
          <cell r="A164" t="str">
            <v>svk</v>
          </cell>
          <cell r="G164" t="str">
            <v>13</v>
          </cell>
        </row>
        <row r="165">
          <cell r="A165" t="str">
            <v>svn</v>
          </cell>
          <cell r="G165" t="str">
            <v>11</v>
          </cell>
        </row>
        <row r="166">
          <cell r="A166" t="str">
            <v>swe</v>
          </cell>
          <cell r="G166" t="str">
            <v>12</v>
          </cell>
        </row>
        <row r="167">
          <cell r="A167" t="str">
            <v>swz</v>
          </cell>
          <cell r="G167" t="str">
            <v>15</v>
          </cell>
        </row>
        <row r="168">
          <cell r="A168" t="str">
            <v>syc</v>
          </cell>
          <cell r="G168" t="str">
            <v>13</v>
          </cell>
        </row>
        <row r="169">
          <cell r="A169" t="str">
            <v>syr</v>
          </cell>
          <cell r="G169" t="str">
            <v>18</v>
          </cell>
        </row>
        <row r="170">
          <cell r="A170" t="str">
            <v>tcd</v>
          </cell>
          <cell r="G170" t="str">
            <v>20</v>
          </cell>
        </row>
        <row r="171">
          <cell r="A171" t="str">
            <v>tgo</v>
          </cell>
          <cell r="G171" t="str">
            <v>15</v>
          </cell>
        </row>
        <row r="172">
          <cell r="A172" t="str">
            <v>tha</v>
          </cell>
          <cell r="G172" t="str">
            <v>66</v>
          </cell>
        </row>
        <row r="173">
          <cell r="A173" t="str">
            <v>tjk</v>
          </cell>
          <cell r="G173" t="str">
            <v>15</v>
          </cell>
        </row>
        <row r="174">
          <cell r="A174" t="str">
            <v>tkm</v>
          </cell>
          <cell r="G174" t="str">
            <v>19</v>
          </cell>
        </row>
        <row r="175">
          <cell r="A175" t="str">
            <v>tls</v>
          </cell>
          <cell r="G175" t="str">
            <v>7</v>
          </cell>
        </row>
        <row r="176">
          <cell r="A176" t="str">
            <v>ton</v>
          </cell>
          <cell r="G176" t="str">
            <v>5</v>
          </cell>
        </row>
        <row r="177">
          <cell r="A177" t="str">
            <v>tto</v>
          </cell>
          <cell r="G177" t="str">
            <v>5</v>
          </cell>
        </row>
        <row r="178">
          <cell r="A178" t="str">
            <v>tun</v>
          </cell>
          <cell r="G178" t="str">
            <v>14</v>
          </cell>
        </row>
        <row r="179">
          <cell r="A179" t="str">
            <v>tur</v>
          </cell>
          <cell r="G179" t="str">
            <v>22</v>
          </cell>
        </row>
        <row r="180">
          <cell r="A180" t="str">
            <v>tuv</v>
          </cell>
        </row>
        <row r="181">
          <cell r="A181" t="str">
            <v>tza</v>
          </cell>
          <cell r="G181" t="str">
            <v>46</v>
          </cell>
        </row>
        <row r="182">
          <cell r="A182" t="str">
            <v>uga</v>
          </cell>
          <cell r="G182" t="str">
            <v>33</v>
          </cell>
        </row>
        <row r="183">
          <cell r="A183" t="str">
            <v>ukr</v>
          </cell>
          <cell r="G183" t="str">
            <v>18</v>
          </cell>
        </row>
        <row r="184">
          <cell r="A184" t="str">
            <v>ury</v>
          </cell>
          <cell r="G184" t="str">
            <v>22</v>
          </cell>
        </row>
        <row r="185">
          <cell r="A185" t="str">
            <v>usa</v>
          </cell>
          <cell r="G185" t="str">
            <v>87</v>
          </cell>
        </row>
        <row r="186">
          <cell r="A186" t="str">
            <v>uzb</v>
          </cell>
          <cell r="G186" t="str">
            <v>19</v>
          </cell>
        </row>
        <row r="187">
          <cell r="A187" t="str">
            <v>vct</v>
          </cell>
          <cell r="G187" t="str">
            <v>4</v>
          </cell>
        </row>
        <row r="188">
          <cell r="A188" t="str">
            <v>ven</v>
          </cell>
          <cell r="G188" t="str">
            <v>43</v>
          </cell>
        </row>
        <row r="189">
          <cell r="A189" t="str">
            <v>vnm</v>
          </cell>
          <cell r="G189" t="str">
            <v>51</v>
          </cell>
        </row>
        <row r="190">
          <cell r="A190" t="str">
            <v>vut</v>
          </cell>
          <cell r="G190" t="str">
            <v>8</v>
          </cell>
        </row>
        <row r="191">
          <cell r="A191" t="str">
            <v>wsm</v>
          </cell>
          <cell r="G191" t="str">
            <v>5</v>
          </cell>
        </row>
        <row r="192">
          <cell r="A192" t="str">
            <v>yem</v>
          </cell>
          <cell r="G192" t="str">
            <v>17</v>
          </cell>
        </row>
        <row r="193">
          <cell r="A193" t="str">
            <v>zaf</v>
          </cell>
          <cell r="G193" t="str">
            <v>54</v>
          </cell>
        </row>
        <row r="194">
          <cell r="A194" t="str">
            <v>zmb</v>
          </cell>
          <cell r="G194" t="str">
            <v>22</v>
          </cell>
        </row>
        <row r="195">
          <cell r="A195" t="str">
            <v>zwe</v>
          </cell>
          <cell r="G195" t="str">
            <v>22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_hpt_thrd_no"/>
    </sheetNames>
    <sheetDataSet>
      <sheetData sheetId="0">
        <row r="2">
          <cell r="A2" t="str">
            <v>afg</v>
          </cell>
          <cell r="G2" t="str">
            <v>9</v>
          </cell>
        </row>
        <row r="3">
          <cell r="A3" t="str">
            <v>ago</v>
          </cell>
          <cell r="G3" t="str">
            <v>68</v>
          </cell>
        </row>
        <row r="4">
          <cell r="A4" t="str">
            <v>alb</v>
          </cell>
          <cell r="G4" t="str">
            <v>5</v>
          </cell>
        </row>
        <row r="5">
          <cell r="A5" t="str">
            <v>and</v>
          </cell>
          <cell r="G5" t="str">
            <v>1</v>
          </cell>
        </row>
        <row r="6">
          <cell r="A6" t="str">
            <v>are</v>
          </cell>
        </row>
        <row r="7">
          <cell r="A7" t="str">
            <v>arg</v>
          </cell>
          <cell r="G7" t="str">
            <v>73</v>
          </cell>
        </row>
        <row r="8">
          <cell r="A8" t="str">
            <v>arm</v>
          </cell>
          <cell r="G8" t="str">
            <v>76</v>
          </cell>
        </row>
        <row r="9">
          <cell r="A9" t="str">
            <v>atg</v>
          </cell>
          <cell r="G9" t="str">
            <v>2</v>
          </cell>
        </row>
        <row r="10">
          <cell r="A10" t="str">
            <v>aus</v>
          </cell>
          <cell r="G10" t="str">
            <v>766</v>
          </cell>
        </row>
        <row r="11">
          <cell r="A11" t="str">
            <v>aut</v>
          </cell>
          <cell r="G11" t="str">
            <v>38</v>
          </cell>
        </row>
        <row r="12">
          <cell r="A12" t="str">
            <v>aze</v>
          </cell>
          <cell r="G12" t="str">
            <v>46</v>
          </cell>
        </row>
        <row r="13">
          <cell r="A13" t="str">
            <v>bdi</v>
          </cell>
          <cell r="G13" t="str">
            <v>159</v>
          </cell>
        </row>
        <row r="14">
          <cell r="A14" t="str">
            <v>bel</v>
          </cell>
          <cell r="G14" t="str">
            <v>3</v>
          </cell>
        </row>
        <row r="15">
          <cell r="A15" t="str">
            <v>ben</v>
          </cell>
          <cell r="G15" t="str">
            <v>17</v>
          </cell>
        </row>
        <row r="16">
          <cell r="A16" t="str">
            <v>bfa</v>
          </cell>
          <cell r="G16" t="str">
            <v>6</v>
          </cell>
        </row>
        <row r="17">
          <cell r="A17" t="str">
            <v>bgd</v>
          </cell>
          <cell r="G17" t="str">
            <v>35</v>
          </cell>
        </row>
        <row r="18">
          <cell r="A18" t="str">
            <v>bgr</v>
          </cell>
          <cell r="G18" t="str">
            <v>13</v>
          </cell>
        </row>
        <row r="19">
          <cell r="A19" t="str">
            <v>bhr</v>
          </cell>
        </row>
        <row r="20">
          <cell r="A20" t="str">
            <v>bhs</v>
          </cell>
          <cell r="G20" t="str">
            <v>28</v>
          </cell>
        </row>
        <row r="21">
          <cell r="A21" t="str">
            <v>bih</v>
          </cell>
          <cell r="G21" t="str">
            <v>5</v>
          </cell>
        </row>
        <row r="22">
          <cell r="A22" t="str">
            <v>blr</v>
          </cell>
          <cell r="G22" t="str">
            <v>2</v>
          </cell>
        </row>
        <row r="23">
          <cell r="A23" t="str">
            <v>blz</v>
          </cell>
          <cell r="G23" t="str">
            <v>84</v>
          </cell>
        </row>
        <row r="24">
          <cell r="A24" t="str">
            <v>bol</v>
          </cell>
          <cell r="G24" t="str">
            <v>298</v>
          </cell>
        </row>
        <row r="25">
          <cell r="A25" t="str">
            <v>bra</v>
          </cell>
          <cell r="G25" t="str">
            <v>1346</v>
          </cell>
        </row>
        <row r="26">
          <cell r="A26" t="str">
            <v>brb</v>
          </cell>
          <cell r="G26" t="str">
            <v>4</v>
          </cell>
        </row>
        <row r="27">
          <cell r="A27" t="str">
            <v>brn</v>
          </cell>
          <cell r="G27" t="str">
            <v>182</v>
          </cell>
        </row>
        <row r="28">
          <cell r="A28" t="str">
            <v>btn</v>
          </cell>
          <cell r="G28" t="str">
            <v>55</v>
          </cell>
        </row>
        <row r="29">
          <cell r="A29" t="str">
            <v>bwa</v>
          </cell>
          <cell r="G29" t="str">
            <v>3</v>
          </cell>
        </row>
        <row r="30">
          <cell r="A30" t="str">
            <v>caf</v>
          </cell>
          <cell r="G30" t="str">
            <v>50</v>
          </cell>
        </row>
        <row r="31">
          <cell r="A31" t="str">
            <v>can</v>
          </cell>
          <cell r="G31" t="str">
            <v>21</v>
          </cell>
        </row>
        <row r="32">
          <cell r="A32" t="str">
            <v>che</v>
          </cell>
          <cell r="G32" t="str">
            <v>20</v>
          </cell>
        </row>
        <row r="33">
          <cell r="A33" t="str">
            <v>chl</v>
          </cell>
          <cell r="G33" t="str">
            <v>91</v>
          </cell>
        </row>
        <row r="34">
          <cell r="A34" t="str">
            <v>chn</v>
          </cell>
          <cell r="G34" t="str">
            <v>713</v>
          </cell>
        </row>
        <row r="35">
          <cell r="A35" t="str">
            <v>civ</v>
          </cell>
          <cell r="G35" t="str">
            <v>159</v>
          </cell>
        </row>
        <row r="36">
          <cell r="A36" t="str">
            <v>cmr</v>
          </cell>
          <cell r="G36" t="str">
            <v>888</v>
          </cell>
        </row>
        <row r="37">
          <cell r="A37" t="str">
            <v>cod</v>
          </cell>
          <cell r="G37" t="str">
            <v>440</v>
          </cell>
        </row>
        <row r="38">
          <cell r="A38" t="str">
            <v>cog</v>
          </cell>
          <cell r="G38" t="str">
            <v>111</v>
          </cell>
        </row>
        <row r="39">
          <cell r="A39" t="str">
            <v>col</v>
          </cell>
          <cell r="G39" t="str">
            <v>918</v>
          </cell>
        </row>
        <row r="40">
          <cell r="A40" t="str">
            <v>com</v>
          </cell>
          <cell r="G40" t="str">
            <v>15</v>
          </cell>
        </row>
        <row r="41">
          <cell r="A41" t="str">
            <v>cpv</v>
          </cell>
          <cell r="G41" t="str">
            <v>51</v>
          </cell>
        </row>
        <row r="42">
          <cell r="A42" t="str">
            <v>cri</v>
          </cell>
          <cell r="G42" t="str">
            <v>319</v>
          </cell>
        </row>
        <row r="43">
          <cell r="A43" t="str">
            <v>cub</v>
          </cell>
          <cell r="G43" t="str">
            <v>192</v>
          </cell>
        </row>
        <row r="44">
          <cell r="A44" t="str">
            <v>cyp</v>
          </cell>
          <cell r="G44" t="str">
            <v>23</v>
          </cell>
        </row>
        <row r="45">
          <cell r="A45" t="str">
            <v>cze</v>
          </cell>
          <cell r="G45" t="str">
            <v>31</v>
          </cell>
        </row>
        <row r="46">
          <cell r="A46" t="str">
            <v>deu</v>
          </cell>
          <cell r="G46" t="str">
            <v>51</v>
          </cell>
        </row>
        <row r="47">
          <cell r="A47" t="str">
            <v>dji</v>
          </cell>
          <cell r="G47" t="str">
            <v>3</v>
          </cell>
        </row>
        <row r="48">
          <cell r="A48" t="str">
            <v>dma</v>
          </cell>
          <cell r="G48" t="str">
            <v>20</v>
          </cell>
        </row>
        <row r="49">
          <cell r="A49" t="str">
            <v>dnk</v>
          </cell>
          <cell r="G49" t="str">
            <v>2</v>
          </cell>
        </row>
        <row r="50">
          <cell r="A50" t="str">
            <v>dom</v>
          </cell>
          <cell r="G50" t="str">
            <v>90</v>
          </cell>
        </row>
        <row r="51">
          <cell r="A51" t="str">
            <v>dza</v>
          </cell>
          <cell r="G51" t="str">
            <v>31</v>
          </cell>
        </row>
        <row r="52">
          <cell r="A52" t="str">
            <v>ecu</v>
          </cell>
          <cell r="G52" t="str">
            <v>2029</v>
          </cell>
        </row>
        <row r="53">
          <cell r="A53" t="str">
            <v>egy</v>
          </cell>
          <cell r="G53" t="str">
            <v>13</v>
          </cell>
        </row>
        <row r="54">
          <cell r="A54" t="str">
            <v>eri</v>
          </cell>
          <cell r="G54" t="str">
            <v>7</v>
          </cell>
        </row>
        <row r="55">
          <cell r="A55" t="str">
            <v>esp</v>
          </cell>
          <cell r="G55" t="str">
            <v>287</v>
          </cell>
        </row>
        <row r="56">
          <cell r="A56" t="str">
            <v>est</v>
          </cell>
          <cell r="G56" t="str">
            <v>2</v>
          </cell>
        </row>
        <row r="57">
          <cell r="A57" t="str">
            <v>eth</v>
          </cell>
          <cell r="G57" t="str">
            <v>107</v>
          </cell>
        </row>
        <row r="58">
          <cell r="A58" t="str">
            <v>fin</v>
          </cell>
          <cell r="G58" t="str">
            <v>4</v>
          </cell>
        </row>
        <row r="59">
          <cell r="A59" t="str">
            <v>fji</v>
          </cell>
          <cell r="G59" t="str">
            <v>95</v>
          </cell>
        </row>
        <row r="60">
          <cell r="A60" t="str">
            <v>fra</v>
          </cell>
          <cell r="G60" t="str">
            <v>65</v>
          </cell>
        </row>
        <row r="61">
          <cell r="A61" t="str">
            <v>fsm</v>
          </cell>
          <cell r="G61" t="str">
            <v>8</v>
          </cell>
        </row>
        <row r="62">
          <cell r="A62" t="str">
            <v>gab</v>
          </cell>
          <cell r="G62" t="str">
            <v>468</v>
          </cell>
        </row>
        <row r="63">
          <cell r="A63" t="str">
            <v>gbr</v>
          </cell>
          <cell r="G63" t="str">
            <v>53</v>
          </cell>
        </row>
        <row r="64">
          <cell r="A64" t="str">
            <v>geo</v>
          </cell>
          <cell r="G64" t="str">
            <v>70</v>
          </cell>
        </row>
        <row r="65">
          <cell r="A65" t="str">
            <v>gha</v>
          </cell>
          <cell r="G65" t="str">
            <v>128</v>
          </cell>
        </row>
        <row r="66">
          <cell r="A66" t="str">
            <v>gin</v>
          </cell>
          <cell r="G66" t="str">
            <v>221</v>
          </cell>
        </row>
        <row r="67">
          <cell r="A67" t="str">
            <v>gmb</v>
          </cell>
          <cell r="G67" t="str">
            <v>6</v>
          </cell>
        </row>
        <row r="68">
          <cell r="A68" t="str">
            <v>gnb</v>
          </cell>
          <cell r="G68" t="str">
            <v>12</v>
          </cell>
        </row>
        <row r="69">
          <cell r="A69" t="str">
            <v>gnq</v>
          </cell>
          <cell r="G69" t="str">
            <v>165</v>
          </cell>
        </row>
        <row r="70">
          <cell r="A70" t="str">
            <v>grc</v>
          </cell>
          <cell r="G70" t="str">
            <v>86</v>
          </cell>
        </row>
        <row r="71">
          <cell r="A71" t="str">
            <v>grd</v>
          </cell>
          <cell r="G71" t="str">
            <v>7</v>
          </cell>
        </row>
        <row r="72">
          <cell r="A72" t="str">
            <v>gtm</v>
          </cell>
          <cell r="G72" t="str">
            <v>364</v>
          </cell>
        </row>
        <row r="73">
          <cell r="A73" t="str">
            <v>guy</v>
          </cell>
          <cell r="G73" t="str">
            <v>82</v>
          </cell>
        </row>
        <row r="74">
          <cell r="A74" t="str">
            <v>hnd</v>
          </cell>
          <cell r="G74" t="str">
            <v>193</v>
          </cell>
        </row>
        <row r="75">
          <cell r="A75" t="str">
            <v>hrv</v>
          </cell>
          <cell r="G75" t="str">
            <v>11</v>
          </cell>
        </row>
        <row r="76">
          <cell r="A76" t="str">
            <v>hti</v>
          </cell>
          <cell r="G76" t="str">
            <v>219</v>
          </cell>
        </row>
        <row r="77">
          <cell r="A77" t="str">
            <v>hun</v>
          </cell>
          <cell r="G77" t="str">
            <v>45</v>
          </cell>
        </row>
        <row r="78">
          <cell r="A78" t="str">
            <v>idn</v>
          </cell>
          <cell r="G78" t="str">
            <v>977</v>
          </cell>
        </row>
        <row r="79">
          <cell r="A79" t="str">
            <v>ind</v>
          </cell>
          <cell r="G79" t="str">
            <v>527</v>
          </cell>
        </row>
        <row r="80">
          <cell r="A80" t="str">
            <v>irl</v>
          </cell>
          <cell r="G80" t="str">
            <v>8</v>
          </cell>
        </row>
        <row r="81">
          <cell r="A81" t="str">
            <v>irn</v>
          </cell>
          <cell r="G81" t="str">
            <v>15</v>
          </cell>
        </row>
        <row r="82">
          <cell r="A82" t="str">
            <v>irq</v>
          </cell>
          <cell r="G82" t="str">
            <v>4</v>
          </cell>
        </row>
        <row r="83">
          <cell r="A83" t="str">
            <v>isl</v>
          </cell>
        </row>
        <row r="84">
          <cell r="A84" t="str">
            <v>isr</v>
          </cell>
          <cell r="G84" t="str">
            <v>39</v>
          </cell>
        </row>
        <row r="85">
          <cell r="A85" t="str">
            <v>ita</v>
          </cell>
          <cell r="G85" t="str">
            <v>122</v>
          </cell>
        </row>
        <row r="86">
          <cell r="A86" t="str">
            <v>jam</v>
          </cell>
          <cell r="G86" t="str">
            <v>214</v>
          </cell>
        </row>
        <row r="87">
          <cell r="A87" t="str">
            <v>jor</v>
          </cell>
          <cell r="G87" t="str">
            <v>8</v>
          </cell>
        </row>
        <row r="88">
          <cell r="A88" t="str">
            <v>jpn</v>
          </cell>
          <cell r="G88" t="str">
            <v>75</v>
          </cell>
        </row>
        <row r="89">
          <cell r="A89" t="str">
            <v>kaz</v>
          </cell>
          <cell r="G89" t="str">
            <v>13</v>
          </cell>
        </row>
        <row r="90">
          <cell r="A90" t="str">
            <v>ken</v>
          </cell>
          <cell r="G90" t="str">
            <v>382</v>
          </cell>
        </row>
        <row r="91">
          <cell r="A91" t="str">
            <v>kgz</v>
          </cell>
          <cell r="G91" t="str">
            <v>13</v>
          </cell>
        </row>
        <row r="92">
          <cell r="A92" t="str">
            <v>khm</v>
          </cell>
          <cell r="G92" t="str">
            <v>51</v>
          </cell>
        </row>
        <row r="93">
          <cell r="A93" t="str">
            <v>kir</v>
          </cell>
        </row>
        <row r="94">
          <cell r="A94" t="str">
            <v>kna</v>
          </cell>
          <cell r="G94" t="str">
            <v>5</v>
          </cell>
        </row>
        <row r="95">
          <cell r="A95" t="str">
            <v>kor</v>
          </cell>
          <cell r="G95" t="str">
            <v>38</v>
          </cell>
        </row>
        <row r="96">
          <cell r="A96" t="str">
            <v>kwt</v>
          </cell>
        </row>
        <row r="97">
          <cell r="A97" t="str">
            <v>lao</v>
          </cell>
          <cell r="G97" t="str">
            <v>80</v>
          </cell>
        </row>
        <row r="98">
          <cell r="A98" t="str">
            <v>lbn</v>
          </cell>
          <cell r="G98" t="str">
            <v>100</v>
          </cell>
        </row>
        <row r="99">
          <cell r="A99" t="str">
            <v>lbr</v>
          </cell>
          <cell r="G99" t="str">
            <v>138</v>
          </cell>
        </row>
        <row r="100">
          <cell r="A100" t="str">
            <v>lby</v>
          </cell>
          <cell r="G100" t="str">
            <v>9</v>
          </cell>
        </row>
        <row r="101">
          <cell r="A101" t="str">
            <v>lca</v>
          </cell>
          <cell r="G101" t="str">
            <v>16</v>
          </cell>
        </row>
        <row r="102">
          <cell r="A102" t="str">
            <v>lie</v>
          </cell>
          <cell r="G102" t="str">
            <v>1</v>
          </cell>
        </row>
        <row r="103">
          <cell r="A103" t="str">
            <v>lka</v>
          </cell>
          <cell r="G103" t="str">
            <v>299</v>
          </cell>
        </row>
        <row r="104">
          <cell r="A104" t="str">
            <v>lso</v>
          </cell>
          <cell r="G104" t="str">
            <v>5</v>
          </cell>
        </row>
        <row r="105">
          <cell r="A105" t="str">
            <v>ltu</v>
          </cell>
          <cell r="G105" t="str">
            <v>2</v>
          </cell>
        </row>
        <row r="106">
          <cell r="A106" t="str">
            <v>lux</v>
          </cell>
          <cell r="G106" t="str">
            <v>3</v>
          </cell>
        </row>
        <row r="107">
          <cell r="A107" t="str">
            <v>lva</v>
          </cell>
          <cell r="G107" t="str">
            <v>1</v>
          </cell>
        </row>
        <row r="108">
          <cell r="A108" t="str">
            <v>mar</v>
          </cell>
          <cell r="G108" t="str">
            <v>57</v>
          </cell>
        </row>
        <row r="109">
          <cell r="A109" t="str">
            <v>mco</v>
          </cell>
          <cell r="G109" t="str">
            <v>2</v>
          </cell>
        </row>
        <row r="110">
          <cell r="A110" t="str">
            <v>mda</v>
          </cell>
          <cell r="G110" t="str">
            <v>2</v>
          </cell>
        </row>
        <row r="111">
          <cell r="A111" t="str">
            <v>mdg</v>
          </cell>
          <cell r="G111" t="str">
            <v>2894</v>
          </cell>
        </row>
        <row r="112">
          <cell r="A112" t="str">
            <v>mdv</v>
          </cell>
        </row>
        <row r="113">
          <cell r="A113" t="str">
            <v>mex</v>
          </cell>
          <cell r="G113" t="str">
            <v>1426</v>
          </cell>
        </row>
        <row r="114">
          <cell r="A114" t="str">
            <v>mhl</v>
          </cell>
        </row>
        <row r="115">
          <cell r="A115" t="str">
            <v>mkd</v>
          </cell>
          <cell r="G115" t="str">
            <v>6</v>
          </cell>
        </row>
        <row r="116">
          <cell r="A116" t="str">
            <v>mli</v>
          </cell>
          <cell r="G116" t="str">
            <v>29</v>
          </cell>
        </row>
        <row r="117">
          <cell r="A117" t="str">
            <v>mlt</v>
          </cell>
          <cell r="G117" t="str">
            <v>4</v>
          </cell>
        </row>
        <row r="118">
          <cell r="A118" t="str">
            <v>mmr</v>
          </cell>
          <cell r="G118" t="str">
            <v>110</v>
          </cell>
        </row>
        <row r="119">
          <cell r="A119" t="str">
            <v>mne</v>
          </cell>
          <cell r="G119" t="str">
            <v>6</v>
          </cell>
        </row>
        <row r="120">
          <cell r="A120" t="str">
            <v>mng</v>
          </cell>
        </row>
        <row r="121">
          <cell r="A121" t="str">
            <v>moz</v>
          </cell>
          <cell r="G121" t="str">
            <v>283</v>
          </cell>
        </row>
        <row r="122">
          <cell r="A122" t="str">
            <v>mrt</v>
          </cell>
          <cell r="G122" t="str">
            <v>1</v>
          </cell>
        </row>
        <row r="123">
          <cell r="A123" t="str">
            <v>mus</v>
          </cell>
          <cell r="G123" t="str">
            <v>103</v>
          </cell>
        </row>
        <row r="124">
          <cell r="A124" t="str">
            <v>mwi</v>
          </cell>
          <cell r="G124" t="str">
            <v>59</v>
          </cell>
        </row>
        <row r="125">
          <cell r="A125" t="str">
            <v>mys</v>
          </cell>
          <cell r="G125" t="str">
            <v>1317</v>
          </cell>
        </row>
        <row r="126">
          <cell r="A126" t="str">
            <v>nam</v>
          </cell>
          <cell r="G126" t="str">
            <v>49</v>
          </cell>
        </row>
        <row r="127">
          <cell r="A127" t="str">
            <v>ner</v>
          </cell>
          <cell r="G127" t="str">
            <v>4</v>
          </cell>
        </row>
        <row r="128">
          <cell r="A128" t="str">
            <v>nga</v>
          </cell>
          <cell r="G128" t="str">
            <v>256</v>
          </cell>
        </row>
        <row r="129">
          <cell r="A129" t="str">
            <v>nic</v>
          </cell>
          <cell r="G129" t="str">
            <v>119</v>
          </cell>
        </row>
        <row r="130">
          <cell r="A130" t="str">
            <v>nld</v>
          </cell>
          <cell r="G130" t="str">
            <v>3</v>
          </cell>
        </row>
        <row r="131">
          <cell r="A131" t="str">
            <v>nor</v>
          </cell>
          <cell r="G131" t="str">
            <v>20</v>
          </cell>
        </row>
        <row r="132">
          <cell r="A132" t="str">
            <v>npl</v>
          </cell>
          <cell r="G132" t="str">
            <v>24</v>
          </cell>
        </row>
        <row r="133">
          <cell r="A133" t="str">
            <v>nru</v>
          </cell>
        </row>
        <row r="134">
          <cell r="A134" t="str">
            <v>nzl</v>
          </cell>
          <cell r="G134" t="str">
            <v>21</v>
          </cell>
        </row>
        <row r="135">
          <cell r="A135" t="str">
            <v>omn</v>
          </cell>
          <cell r="G135" t="str">
            <v>8</v>
          </cell>
        </row>
        <row r="136">
          <cell r="A136" t="str">
            <v>pak</v>
          </cell>
          <cell r="G136" t="str">
            <v>20</v>
          </cell>
        </row>
        <row r="137">
          <cell r="A137" t="str">
            <v>pan</v>
          </cell>
          <cell r="G137" t="str">
            <v>238</v>
          </cell>
        </row>
        <row r="138">
          <cell r="A138" t="str">
            <v>per</v>
          </cell>
          <cell r="G138" t="str">
            <v>568</v>
          </cell>
        </row>
        <row r="139">
          <cell r="A139" t="str">
            <v>phl</v>
          </cell>
          <cell r="G139" t="str">
            <v>903</v>
          </cell>
        </row>
        <row r="140">
          <cell r="A140" t="str">
            <v>plw</v>
          </cell>
          <cell r="G140" t="str">
            <v>5</v>
          </cell>
        </row>
        <row r="141">
          <cell r="A141" t="str">
            <v>png</v>
          </cell>
          <cell r="G141" t="str">
            <v>641</v>
          </cell>
        </row>
        <row r="142">
          <cell r="A142" t="str">
            <v>pol</v>
          </cell>
          <cell r="G142" t="str">
            <v>16</v>
          </cell>
        </row>
        <row r="143">
          <cell r="A143" t="str">
            <v>prk</v>
          </cell>
          <cell r="G143" t="str">
            <v>20</v>
          </cell>
        </row>
        <row r="144">
          <cell r="A144" t="str">
            <v>prt</v>
          </cell>
          <cell r="G144" t="str">
            <v>144</v>
          </cell>
        </row>
        <row r="145">
          <cell r="A145" t="str">
            <v>pry</v>
          </cell>
          <cell r="G145" t="str">
            <v>22</v>
          </cell>
        </row>
        <row r="146">
          <cell r="A146" t="str">
            <v>pse</v>
          </cell>
          <cell r="G146" t="str">
            <v>11</v>
          </cell>
        </row>
        <row r="147">
          <cell r="A147" t="str">
            <v>qat</v>
          </cell>
        </row>
        <row r="148">
          <cell r="A148" t="str">
            <v>rou</v>
          </cell>
          <cell r="G148" t="str">
            <v>14</v>
          </cell>
        </row>
        <row r="149">
          <cell r="A149" t="str">
            <v>rus</v>
          </cell>
          <cell r="G149" t="str">
            <v>68</v>
          </cell>
        </row>
        <row r="150">
          <cell r="A150" t="str">
            <v>rwa</v>
          </cell>
          <cell r="G150" t="str">
            <v>134</v>
          </cell>
        </row>
        <row r="151">
          <cell r="A151" t="str">
            <v>sau</v>
          </cell>
          <cell r="G151" t="str">
            <v>5</v>
          </cell>
        </row>
        <row r="152">
          <cell r="A152" t="str">
            <v>sdn</v>
          </cell>
          <cell r="G152" t="str">
            <v>16</v>
          </cell>
        </row>
        <row r="153">
          <cell r="A153" t="str">
            <v>sen</v>
          </cell>
          <cell r="G153" t="str">
            <v>23</v>
          </cell>
        </row>
        <row r="154">
          <cell r="A154" t="str">
            <v>sgp</v>
          </cell>
          <cell r="G154" t="str">
            <v>69</v>
          </cell>
        </row>
        <row r="155">
          <cell r="A155" t="str">
            <v>slb</v>
          </cell>
          <cell r="G155" t="str">
            <v>53</v>
          </cell>
        </row>
        <row r="156">
          <cell r="A156" t="str">
            <v>sle</v>
          </cell>
          <cell r="G156" t="str">
            <v>143</v>
          </cell>
        </row>
        <row r="157">
          <cell r="A157" t="str">
            <v>slv</v>
          </cell>
          <cell r="G157" t="str">
            <v>77</v>
          </cell>
        </row>
        <row r="158">
          <cell r="A158" t="str">
            <v>smr</v>
          </cell>
        </row>
        <row r="159">
          <cell r="A159" t="str">
            <v>som</v>
          </cell>
          <cell r="G159" t="str">
            <v>63</v>
          </cell>
        </row>
        <row r="160">
          <cell r="A160" t="str">
            <v>srb</v>
          </cell>
          <cell r="G160" t="str">
            <v>9</v>
          </cell>
        </row>
        <row r="161">
          <cell r="A161" t="str">
            <v>ssd</v>
          </cell>
          <cell r="G161" t="str">
            <v>21</v>
          </cell>
        </row>
        <row r="162">
          <cell r="A162" t="str">
            <v>stp</v>
          </cell>
          <cell r="G162" t="str">
            <v>72</v>
          </cell>
        </row>
        <row r="163">
          <cell r="A163" t="str">
            <v>sur</v>
          </cell>
          <cell r="G163" t="str">
            <v>45</v>
          </cell>
        </row>
        <row r="164">
          <cell r="A164" t="str">
            <v>svk</v>
          </cell>
          <cell r="G164" t="str">
            <v>32</v>
          </cell>
        </row>
        <row r="165">
          <cell r="A165" t="str">
            <v>svn</v>
          </cell>
          <cell r="G165" t="str">
            <v>13</v>
          </cell>
        </row>
        <row r="166">
          <cell r="A166" t="str">
            <v>swe</v>
          </cell>
          <cell r="G166" t="str">
            <v>12</v>
          </cell>
        </row>
        <row r="167">
          <cell r="A167" t="str">
            <v>swz</v>
          </cell>
          <cell r="G167" t="str">
            <v>14</v>
          </cell>
        </row>
        <row r="168">
          <cell r="A168" t="str">
            <v>syc</v>
          </cell>
          <cell r="G168" t="str">
            <v>61</v>
          </cell>
        </row>
        <row r="169">
          <cell r="A169" t="str">
            <v>syr</v>
          </cell>
          <cell r="G169" t="str">
            <v>44</v>
          </cell>
        </row>
        <row r="170">
          <cell r="A170" t="str">
            <v>tcd</v>
          </cell>
          <cell r="G170" t="str">
            <v>7</v>
          </cell>
        </row>
        <row r="171">
          <cell r="A171" t="str">
            <v>tgo</v>
          </cell>
          <cell r="G171" t="str">
            <v>15</v>
          </cell>
        </row>
        <row r="172">
          <cell r="A172" t="str">
            <v>tha</v>
          </cell>
          <cell r="G172" t="str">
            <v>232</v>
          </cell>
        </row>
        <row r="173">
          <cell r="A173" t="str">
            <v>tjk</v>
          </cell>
          <cell r="G173" t="str">
            <v>11</v>
          </cell>
        </row>
        <row r="174">
          <cell r="A174" t="str">
            <v>tkm</v>
          </cell>
          <cell r="G174" t="str">
            <v>4</v>
          </cell>
        </row>
        <row r="175">
          <cell r="A175" t="str">
            <v>tls</v>
          </cell>
          <cell r="G175" t="str">
            <v>7</v>
          </cell>
        </row>
        <row r="176">
          <cell r="A176" t="str">
            <v>ton</v>
          </cell>
          <cell r="G176" t="str">
            <v>10</v>
          </cell>
        </row>
        <row r="177">
          <cell r="A177" t="str">
            <v>tto</v>
          </cell>
          <cell r="G177" t="str">
            <v>58</v>
          </cell>
        </row>
        <row r="178">
          <cell r="A178" t="str">
            <v>tun</v>
          </cell>
          <cell r="G178" t="str">
            <v>12</v>
          </cell>
        </row>
        <row r="179">
          <cell r="A179" t="str">
            <v>tur</v>
          </cell>
          <cell r="G179" t="str">
            <v>135</v>
          </cell>
        </row>
        <row r="180">
          <cell r="A180" t="str">
            <v>tuv</v>
          </cell>
        </row>
        <row r="181">
          <cell r="A181" t="str">
            <v>tza</v>
          </cell>
          <cell r="G181" t="str">
            <v>1010</v>
          </cell>
        </row>
        <row r="182">
          <cell r="A182" t="str">
            <v>uga</v>
          </cell>
          <cell r="G182" t="str">
            <v>146</v>
          </cell>
        </row>
        <row r="183">
          <cell r="A183" t="str">
            <v>ukr</v>
          </cell>
          <cell r="G183" t="str">
            <v>29</v>
          </cell>
        </row>
        <row r="184">
          <cell r="A184" t="str">
            <v>ury</v>
          </cell>
          <cell r="G184" t="str">
            <v>22</v>
          </cell>
        </row>
        <row r="185">
          <cell r="A185" t="str">
            <v>usa</v>
          </cell>
          <cell r="G185" t="str">
            <v>688</v>
          </cell>
        </row>
        <row r="186">
          <cell r="A186" t="str">
            <v>uzb</v>
          </cell>
          <cell r="G186" t="str">
            <v>16</v>
          </cell>
        </row>
        <row r="187">
          <cell r="A187" t="str">
            <v>vct</v>
          </cell>
          <cell r="G187" t="str">
            <v>8</v>
          </cell>
        </row>
        <row r="188">
          <cell r="A188" t="str">
            <v>ven</v>
          </cell>
          <cell r="G188" t="str">
            <v>463</v>
          </cell>
        </row>
        <row r="189">
          <cell r="A189" t="str">
            <v>vnm</v>
          </cell>
          <cell r="G189" t="str">
            <v>308</v>
          </cell>
        </row>
        <row r="190">
          <cell r="A190" t="str">
            <v>vut</v>
          </cell>
          <cell r="G190" t="str">
            <v>15</v>
          </cell>
        </row>
        <row r="191">
          <cell r="A191" t="str">
            <v>wsm</v>
          </cell>
          <cell r="G191" t="str">
            <v>10</v>
          </cell>
        </row>
        <row r="192">
          <cell r="A192" t="str">
            <v>yem</v>
          </cell>
          <cell r="G192" t="str">
            <v>165</v>
          </cell>
        </row>
        <row r="193">
          <cell r="A193" t="str">
            <v>zaf</v>
          </cell>
          <cell r="G193" t="str">
            <v>428</v>
          </cell>
        </row>
        <row r="194">
          <cell r="A194" t="str">
            <v>zmb</v>
          </cell>
          <cell r="G194" t="str">
            <v>57</v>
          </cell>
        </row>
        <row r="195">
          <cell r="A195" t="str">
            <v>zwe</v>
          </cell>
          <cell r="G195" t="str">
            <v>80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r_lnd_ptld_zs"/>
    </sheetNames>
    <sheetDataSet>
      <sheetData sheetId="0">
        <row r="2">
          <cell r="A2" t="str">
            <v>afg</v>
          </cell>
          <cell r="O2" t="str">
            <v>3.6</v>
          </cell>
        </row>
        <row r="3">
          <cell r="A3" t="str">
            <v>ago</v>
          </cell>
          <cell r="O3" t="str">
            <v>10.8</v>
          </cell>
        </row>
        <row r="4">
          <cell r="A4" t="str">
            <v>alb</v>
          </cell>
          <cell r="O4" t="str">
            <v>23.6</v>
          </cell>
        </row>
        <row r="5">
          <cell r="A5" t="str">
            <v>and</v>
          </cell>
          <cell r="O5" t="str">
            <v>27.3</v>
          </cell>
        </row>
        <row r="6">
          <cell r="A6" t="str">
            <v>are</v>
          </cell>
          <cell r="O6" t="str">
            <v>19.2</v>
          </cell>
        </row>
        <row r="7">
          <cell r="A7" t="str">
            <v>arg</v>
          </cell>
          <cell r="O7" t="str">
            <v>8.8</v>
          </cell>
        </row>
        <row r="8">
          <cell r="A8" t="str">
            <v>arm</v>
          </cell>
          <cell r="O8" t="str">
            <v>38.9</v>
          </cell>
        </row>
        <row r="9">
          <cell r="A9" t="str">
            <v>atg</v>
          </cell>
          <cell r="O9" t="str">
            <v>16.5</v>
          </cell>
        </row>
        <row r="10">
          <cell r="A10" t="str">
            <v>aus</v>
          </cell>
          <cell r="O10" t="str">
            <v>22</v>
          </cell>
        </row>
        <row r="11">
          <cell r="A11" t="str">
            <v>aut</v>
          </cell>
          <cell r="O11" t="str">
            <v>29.6</v>
          </cell>
        </row>
        <row r="12">
          <cell r="A12" t="str">
            <v>aze</v>
          </cell>
          <cell r="O12" t="str">
            <v>22.1</v>
          </cell>
        </row>
        <row r="13">
          <cell r="A13" t="str">
            <v>bdi</v>
          </cell>
          <cell r="O13" t="str">
            <v>7.6</v>
          </cell>
        </row>
        <row r="14">
          <cell r="A14" t="str">
            <v>bel</v>
          </cell>
          <cell r="O14" t="str">
            <v>16.4</v>
          </cell>
        </row>
        <row r="15">
          <cell r="A15" t="str">
            <v>ben</v>
          </cell>
          <cell r="O15" t="str">
            <v>36.1</v>
          </cell>
        </row>
        <row r="16">
          <cell r="A16" t="str">
            <v>bfa</v>
          </cell>
          <cell r="O16" t="str">
            <v>16.8</v>
          </cell>
        </row>
        <row r="17">
          <cell r="A17" t="str">
            <v>bgd</v>
          </cell>
          <cell r="O17" t="str">
            <v>4.2</v>
          </cell>
        </row>
        <row r="18">
          <cell r="A18" t="str">
            <v>bgr</v>
          </cell>
          <cell r="O18" t="str">
            <v>44.3</v>
          </cell>
        </row>
        <row r="19">
          <cell r="A19" t="str">
            <v>bhr</v>
          </cell>
          <cell r="O19" t="str">
            <v>11.7</v>
          </cell>
        </row>
        <row r="20">
          <cell r="A20" t="str">
            <v>bhs</v>
          </cell>
          <cell r="O20" t="str">
            <v>34.6</v>
          </cell>
        </row>
        <row r="21">
          <cell r="A21" t="str">
            <v>bih</v>
          </cell>
          <cell r="O21" t="str">
            <v>9.5</v>
          </cell>
        </row>
        <row r="22">
          <cell r="A22" t="str">
            <v>blr</v>
          </cell>
          <cell r="O22" t="str">
            <v>9.2</v>
          </cell>
        </row>
        <row r="23">
          <cell r="A23" t="str">
            <v>blz</v>
          </cell>
          <cell r="O23" t="str">
            <v>37.3</v>
          </cell>
        </row>
        <row r="24">
          <cell r="A24" t="str">
            <v>bol</v>
          </cell>
          <cell r="O24" t="str">
            <v>30.9</v>
          </cell>
        </row>
        <row r="25">
          <cell r="A25" t="str">
            <v>bra</v>
          </cell>
          <cell r="O25" t="str">
            <v>30.6</v>
          </cell>
        </row>
        <row r="26">
          <cell r="A26" t="str">
            <v>brb</v>
          </cell>
          <cell r="O26" t="str">
            <v>1.1</v>
          </cell>
        </row>
        <row r="27">
          <cell r="A27" t="str">
            <v>brn</v>
          </cell>
          <cell r="O27" t="str">
            <v>39.9</v>
          </cell>
        </row>
        <row r="28">
          <cell r="A28" t="str">
            <v>btn</v>
          </cell>
          <cell r="O28" t="str">
            <v>51.6</v>
          </cell>
        </row>
        <row r="29">
          <cell r="A29" t="str">
            <v>bwa</v>
          </cell>
          <cell r="O29" t="str">
            <v>27.6</v>
          </cell>
        </row>
        <row r="30">
          <cell r="A30" t="str">
            <v>caf</v>
          </cell>
          <cell r="O30" t="str">
            <v>14.8</v>
          </cell>
        </row>
        <row r="31">
          <cell r="A31" t="str">
            <v>can</v>
          </cell>
          <cell r="O31" t="str">
            <v>12.9</v>
          </cell>
        </row>
        <row r="32">
          <cell r="A32" t="str">
            <v>che</v>
          </cell>
          <cell r="O32" t="str">
            <v>12.5</v>
          </cell>
        </row>
        <row r="33">
          <cell r="A33" t="str">
            <v>chl</v>
          </cell>
          <cell r="O33" t="str">
            <v>21.6</v>
          </cell>
        </row>
        <row r="34">
          <cell r="A34" t="str">
            <v>chn</v>
          </cell>
          <cell r="O34" t="str">
            <v>15.6</v>
          </cell>
        </row>
        <row r="35">
          <cell r="A35" t="str">
            <v>civ</v>
          </cell>
          <cell r="O35" t="str">
            <v>22.9</v>
          </cell>
        </row>
        <row r="36">
          <cell r="A36" t="str">
            <v>cmr</v>
          </cell>
          <cell r="O36" t="str">
            <v>11</v>
          </cell>
        </row>
        <row r="37">
          <cell r="A37" t="str">
            <v>cod</v>
          </cell>
          <cell r="O37" t="str">
            <v>14.9</v>
          </cell>
        </row>
        <row r="38">
          <cell r="A38" t="str">
            <v>cog</v>
          </cell>
          <cell r="O38" t="str">
            <v>36.6</v>
          </cell>
        </row>
        <row r="39">
          <cell r="A39" t="str">
            <v>col</v>
          </cell>
          <cell r="O39" t="str">
            <v>17.2</v>
          </cell>
        </row>
        <row r="40">
          <cell r="A40" t="str">
            <v>com</v>
          </cell>
          <cell r="O40" t="str">
            <v>33.7</v>
          </cell>
        </row>
        <row r="41">
          <cell r="A41" t="str">
            <v>cpv</v>
          </cell>
          <cell r="O41" t="str">
            <v>17.6</v>
          </cell>
        </row>
        <row r="42">
          <cell r="A42" t="str">
            <v>cri</v>
          </cell>
          <cell r="O42" t="str">
            <v>26.6</v>
          </cell>
        </row>
        <row r="43">
          <cell r="A43" t="str">
            <v>cub</v>
          </cell>
          <cell r="O43" t="str">
            <v>15.6</v>
          </cell>
        </row>
        <row r="44">
          <cell r="A44" t="str">
            <v>cyp</v>
          </cell>
          <cell r="O44" t="str">
            <v>38.6</v>
          </cell>
        </row>
        <row r="45">
          <cell r="A45" t="str">
            <v>cze</v>
          </cell>
          <cell r="O45" t="str">
            <v>21.9</v>
          </cell>
        </row>
        <row r="46">
          <cell r="A46" t="str">
            <v>deu</v>
          </cell>
          <cell r="O46" t="str">
            <v>39.2</v>
          </cell>
        </row>
        <row r="47">
          <cell r="A47" t="str">
            <v>dji</v>
          </cell>
          <cell r="O47" t="str">
            <v>1.6</v>
          </cell>
        </row>
        <row r="48">
          <cell r="A48" t="str">
            <v>dma</v>
          </cell>
          <cell r="O48" t="str">
            <v>21.4</v>
          </cell>
        </row>
        <row r="49">
          <cell r="A49" t="str">
            <v>dnk</v>
          </cell>
          <cell r="O49" t="str">
            <v>16.4</v>
          </cell>
        </row>
        <row r="50">
          <cell r="A50" t="str">
            <v>dom</v>
          </cell>
          <cell r="O50" t="str">
            <v>26.3</v>
          </cell>
        </row>
        <row r="51">
          <cell r="A51" t="str">
            <v>dza</v>
          </cell>
          <cell r="O51" t="str">
            <v>4.7</v>
          </cell>
        </row>
        <row r="52">
          <cell r="A52" t="str">
            <v>ecu</v>
          </cell>
          <cell r="O52" t="str">
            <v>23.8</v>
          </cell>
        </row>
        <row r="53">
          <cell r="A53" t="str">
            <v>egy</v>
          </cell>
          <cell r="O53" t="str">
            <v>13.1</v>
          </cell>
        </row>
        <row r="54">
          <cell r="A54" t="str">
            <v>eri</v>
          </cell>
        </row>
        <row r="55">
          <cell r="A55" t="str">
            <v>esp</v>
          </cell>
          <cell r="O55" t="str">
            <v>28.1</v>
          </cell>
        </row>
        <row r="56">
          <cell r="A56" t="str">
            <v>est</v>
          </cell>
          <cell r="O56" t="str">
            <v>21.6</v>
          </cell>
        </row>
        <row r="57">
          <cell r="A57" t="str">
            <v>eth</v>
          </cell>
          <cell r="O57" t="str">
            <v>17</v>
          </cell>
        </row>
        <row r="58">
          <cell r="A58" t="str">
            <v>fin</v>
          </cell>
          <cell r="O58" t="str">
            <v>13.9</v>
          </cell>
        </row>
        <row r="59">
          <cell r="A59" t="str">
            <v>fji</v>
          </cell>
          <cell r="O59" t="str">
            <v>3.9</v>
          </cell>
        </row>
        <row r="60">
          <cell r="A60" t="str">
            <v>fra</v>
          </cell>
          <cell r="O60" t="str">
            <v>28.8</v>
          </cell>
        </row>
        <row r="61">
          <cell r="A61" t="str">
            <v>fsm</v>
          </cell>
        </row>
        <row r="62">
          <cell r="A62" t="str">
            <v>gab</v>
          </cell>
          <cell r="O62" t="str">
            <v>22.6</v>
          </cell>
        </row>
        <row r="63">
          <cell r="A63" t="str">
            <v>gbr</v>
          </cell>
          <cell r="O63" t="str">
            <v>28.4</v>
          </cell>
        </row>
        <row r="64">
          <cell r="A64" t="str">
            <v>geo</v>
          </cell>
          <cell r="O64" t="str">
            <v>22.8</v>
          </cell>
        </row>
        <row r="65">
          <cell r="A65" t="str">
            <v>gha</v>
          </cell>
          <cell r="O65" t="str">
            <v>15.3</v>
          </cell>
        </row>
        <row r="66">
          <cell r="A66" t="str">
            <v>gin</v>
          </cell>
          <cell r="O66" t="str">
            <v>42.6</v>
          </cell>
        </row>
        <row r="67">
          <cell r="A67" t="str">
            <v>gmb</v>
          </cell>
          <cell r="O67" t="str">
            <v>7.7</v>
          </cell>
        </row>
        <row r="68">
          <cell r="A68" t="str">
            <v>gnb</v>
          </cell>
          <cell r="O68" t="str">
            <v>26.2</v>
          </cell>
        </row>
        <row r="69">
          <cell r="A69" t="str">
            <v>gnq</v>
          </cell>
          <cell r="O69" t="str">
            <v>19</v>
          </cell>
        </row>
        <row r="70">
          <cell r="A70" t="str">
            <v>grc</v>
          </cell>
          <cell r="O70" t="str">
            <v>35</v>
          </cell>
        </row>
        <row r="71">
          <cell r="A71" t="str">
            <v>grd</v>
          </cell>
          <cell r="O71" t="str">
            <v>8.8</v>
          </cell>
        </row>
        <row r="72">
          <cell r="A72" t="str">
            <v>gtm</v>
          </cell>
          <cell r="O72" t="str">
            <v>20.1</v>
          </cell>
        </row>
        <row r="73">
          <cell r="A73" t="str">
            <v>guy</v>
          </cell>
          <cell r="O73" t="str">
            <v>8.4</v>
          </cell>
        </row>
        <row r="74">
          <cell r="A74" t="str">
            <v>hnd</v>
          </cell>
          <cell r="O74" t="str">
            <v>23</v>
          </cell>
        </row>
        <row r="75">
          <cell r="A75" t="str">
            <v>hrv</v>
          </cell>
          <cell r="O75" t="str">
            <v>38.4</v>
          </cell>
        </row>
        <row r="76">
          <cell r="A76" t="str">
            <v>hti</v>
          </cell>
          <cell r="O76" t="str">
            <v>8.6</v>
          </cell>
        </row>
        <row r="77">
          <cell r="A77" t="str">
            <v>hun</v>
          </cell>
          <cell r="O77" t="str">
            <v>22.3</v>
          </cell>
        </row>
        <row r="78">
          <cell r="A78" t="str">
            <v>idn</v>
          </cell>
          <cell r="O78" t="str">
            <v>12</v>
          </cell>
        </row>
        <row r="79">
          <cell r="A79" t="str">
            <v>ind</v>
          </cell>
          <cell r="O79" t="str">
            <v>7.7</v>
          </cell>
        </row>
        <row r="80">
          <cell r="A80" t="str">
            <v>irl</v>
          </cell>
          <cell r="O80" t="str">
            <v>14.2</v>
          </cell>
        </row>
        <row r="81">
          <cell r="A81" t="str">
            <v>irn</v>
          </cell>
          <cell r="O81" t="str">
            <v>7.8</v>
          </cell>
        </row>
        <row r="82">
          <cell r="A82" t="str">
            <v>irq</v>
          </cell>
          <cell r="O82" t="str">
            <v>1.5</v>
          </cell>
        </row>
        <row r="83">
          <cell r="A83" t="str">
            <v>isl</v>
          </cell>
          <cell r="O83" t="str">
            <v>20.9</v>
          </cell>
        </row>
        <row r="84">
          <cell r="A84" t="str">
            <v>isr</v>
          </cell>
          <cell r="O84" t="str">
            <v>27.6</v>
          </cell>
        </row>
        <row r="85">
          <cell r="A85" t="str">
            <v>ita</v>
          </cell>
          <cell r="O85" t="str">
            <v>21.5</v>
          </cell>
        </row>
        <row r="86">
          <cell r="A86" t="str">
            <v>jam</v>
          </cell>
          <cell r="O86" t="str">
            <v>19.9</v>
          </cell>
        </row>
        <row r="87">
          <cell r="A87" t="str">
            <v>jor</v>
          </cell>
          <cell r="O87" t="str">
            <v>5.4</v>
          </cell>
        </row>
        <row r="88">
          <cell r="A88" t="str">
            <v>jpn</v>
          </cell>
          <cell r="O88" t="str">
            <v>29.7</v>
          </cell>
        </row>
        <row r="89">
          <cell r="A89" t="str">
            <v>kaz</v>
          </cell>
          <cell r="O89" t="str">
            <v>10.1</v>
          </cell>
        </row>
        <row r="90">
          <cell r="A90" t="str">
            <v>ken</v>
          </cell>
          <cell r="O90" t="str">
            <v>13.9</v>
          </cell>
        </row>
        <row r="91">
          <cell r="A91" t="str">
            <v>kgz</v>
          </cell>
          <cell r="O91" t="str">
            <v>6.8</v>
          </cell>
        </row>
        <row r="92">
          <cell r="A92" t="str">
            <v>khm</v>
          </cell>
          <cell r="O92" t="str">
            <v>39.8</v>
          </cell>
        </row>
        <row r="93">
          <cell r="A93" t="str">
            <v>kir</v>
          </cell>
          <cell r="O93" t="str">
            <v>22.9</v>
          </cell>
        </row>
        <row r="94">
          <cell r="A94" t="str">
            <v>kna</v>
          </cell>
          <cell r="O94" t="str">
            <v>16.9</v>
          </cell>
        </row>
        <row r="95">
          <cell r="A95" t="str">
            <v>kor</v>
          </cell>
          <cell r="O95" t="str">
            <v>17.7</v>
          </cell>
        </row>
        <row r="96">
          <cell r="A96" t="str">
            <v>kwt</v>
          </cell>
          <cell r="O96" t="str">
            <v>17.1</v>
          </cell>
        </row>
        <row r="97">
          <cell r="A97" t="str">
            <v>lao</v>
          </cell>
          <cell r="O97" t="str">
            <v>18.8</v>
          </cell>
        </row>
        <row r="98">
          <cell r="A98" t="str">
            <v>lbn</v>
          </cell>
          <cell r="O98" t="str">
            <v>13</v>
          </cell>
        </row>
        <row r="99">
          <cell r="A99" t="str">
            <v>lbr</v>
          </cell>
          <cell r="O99" t="str">
            <v>4</v>
          </cell>
        </row>
        <row r="100">
          <cell r="A100" t="str">
            <v>lby</v>
          </cell>
          <cell r="O100" t="str">
            <v>0.1</v>
          </cell>
        </row>
        <row r="101">
          <cell r="A101" t="str">
            <v>lca</v>
          </cell>
          <cell r="O101" t="str">
            <v>18.2</v>
          </cell>
        </row>
        <row r="102">
          <cell r="A102" t="str">
            <v>lie</v>
          </cell>
          <cell r="O102" t="str">
            <v>44.8</v>
          </cell>
        </row>
        <row r="103">
          <cell r="A103" t="str">
            <v>lka</v>
          </cell>
          <cell r="O103" t="str">
            <v>30.8</v>
          </cell>
        </row>
        <row r="104">
          <cell r="A104" t="str">
            <v>lso</v>
          </cell>
          <cell r="O104" t="str">
            <v>23.4</v>
          </cell>
        </row>
        <row r="105">
          <cell r="A105" t="str">
            <v>ltu</v>
          </cell>
          <cell r="O105" t="str">
            <v>18</v>
          </cell>
        </row>
        <row r="106">
          <cell r="A106" t="str">
            <v>lux</v>
          </cell>
          <cell r="O106" t="str">
            <v>39.1</v>
          </cell>
        </row>
        <row r="107">
          <cell r="A107" t="str">
            <v>lva</v>
          </cell>
          <cell r="O107" t="str">
            <v>18.8</v>
          </cell>
        </row>
        <row r="108">
          <cell r="A108" t="str">
            <v>mar</v>
          </cell>
          <cell r="O108" t="str">
            <v>2.1</v>
          </cell>
        </row>
        <row r="109">
          <cell r="A109" t="str">
            <v>mco</v>
          </cell>
          <cell r="O109" t="str">
            <v>20.9</v>
          </cell>
        </row>
        <row r="110">
          <cell r="A110" t="str">
            <v>mda</v>
          </cell>
          <cell r="O110" t="str">
            <v>11.5</v>
          </cell>
        </row>
        <row r="111">
          <cell r="A111" t="str">
            <v>mdg</v>
          </cell>
          <cell r="O111" t="str">
            <v>12.8</v>
          </cell>
        </row>
        <row r="112">
          <cell r="A112" t="str">
            <v>mdv</v>
          </cell>
          <cell r="O112" t="str">
            <v>3</v>
          </cell>
        </row>
        <row r="113">
          <cell r="A113" t="str">
            <v>mex</v>
          </cell>
          <cell r="O113" t="str">
            <v>15.3</v>
          </cell>
        </row>
        <row r="114">
          <cell r="A114" t="str">
            <v>mhl</v>
          </cell>
          <cell r="O114" t="str">
            <v>16.1</v>
          </cell>
        </row>
        <row r="115">
          <cell r="A115" t="str">
            <v>mkd</v>
          </cell>
          <cell r="O115" t="str">
            <v>29</v>
          </cell>
        </row>
        <row r="116">
          <cell r="A116" t="str">
            <v>mli</v>
          </cell>
          <cell r="O116" t="str">
            <v>7.5</v>
          </cell>
        </row>
        <row r="117">
          <cell r="A117" t="str">
            <v>mlt</v>
          </cell>
          <cell r="O117" t="str">
            <v>29</v>
          </cell>
        </row>
        <row r="118">
          <cell r="A118" t="str">
            <v>mmr</v>
          </cell>
          <cell r="O118" t="str">
            <v>6.7</v>
          </cell>
        </row>
        <row r="119">
          <cell r="A119" t="str">
            <v>mne</v>
          </cell>
          <cell r="O119" t="str">
            <v>22.2</v>
          </cell>
        </row>
        <row r="120">
          <cell r="A120" t="str">
            <v>mng</v>
          </cell>
          <cell r="O120" t="str">
            <v>19.8</v>
          </cell>
        </row>
        <row r="121">
          <cell r="A121" t="str">
            <v>moz</v>
          </cell>
          <cell r="O121" t="str">
            <v>29.5</v>
          </cell>
        </row>
        <row r="122">
          <cell r="A122" t="str">
            <v>mrt</v>
          </cell>
          <cell r="O122" t="str">
            <v>0.6</v>
          </cell>
        </row>
        <row r="123">
          <cell r="A123" t="str">
            <v>mus</v>
          </cell>
          <cell r="O123" t="str">
            <v>5</v>
          </cell>
        </row>
        <row r="124">
          <cell r="A124" t="str">
            <v>mwi</v>
          </cell>
          <cell r="O124" t="str">
            <v>23.1</v>
          </cell>
        </row>
        <row r="125">
          <cell r="A125" t="str">
            <v>mys</v>
          </cell>
          <cell r="O125" t="str">
            <v>13.3</v>
          </cell>
        </row>
        <row r="126">
          <cell r="A126" t="str">
            <v>nam</v>
          </cell>
          <cell r="O126" t="str">
            <v>39.9</v>
          </cell>
        </row>
        <row r="127">
          <cell r="A127" t="str">
            <v>ner</v>
          </cell>
          <cell r="O127" t="str">
            <v>21</v>
          </cell>
        </row>
        <row r="128">
          <cell r="A128" t="str">
            <v>nga</v>
          </cell>
          <cell r="O128" t="str">
            <v>13.9</v>
          </cell>
        </row>
        <row r="129">
          <cell r="A129" t="str">
            <v>nic</v>
          </cell>
          <cell r="O129" t="str">
            <v>21.2</v>
          </cell>
        </row>
        <row r="130">
          <cell r="A130" t="str">
            <v>nld</v>
          </cell>
          <cell r="O130" t="str">
            <v>22.9</v>
          </cell>
        </row>
        <row r="131">
          <cell r="A131" t="str">
            <v>nor</v>
          </cell>
          <cell r="O131" t="str">
            <v>17.8</v>
          </cell>
        </row>
        <row r="132">
          <cell r="A132" t="str">
            <v>npl</v>
          </cell>
          <cell r="O132" t="str">
            <v>23.6</v>
          </cell>
        </row>
        <row r="133">
          <cell r="A133" t="str">
            <v>nru</v>
          </cell>
        </row>
        <row r="134">
          <cell r="A134" t="str">
            <v>nzl</v>
          </cell>
          <cell r="O134" t="str">
            <v>33.4</v>
          </cell>
        </row>
        <row r="135">
          <cell r="A135" t="str">
            <v>omn</v>
          </cell>
          <cell r="O135" t="str">
            <v>28.9</v>
          </cell>
        </row>
        <row r="136">
          <cell r="A136" t="str">
            <v>pak</v>
          </cell>
          <cell r="O136" t="str">
            <v>19.1</v>
          </cell>
        </row>
        <row r="137">
          <cell r="A137" t="str">
            <v>pan</v>
          </cell>
          <cell r="O137" t="str">
            <v>31.4</v>
          </cell>
        </row>
        <row r="138">
          <cell r="A138" t="str">
            <v>per</v>
          </cell>
          <cell r="O138" t="str">
            <v>22.1</v>
          </cell>
        </row>
        <row r="139">
          <cell r="A139" t="str">
            <v>phl</v>
          </cell>
          <cell r="O139" t="str">
            <v>16</v>
          </cell>
        </row>
        <row r="140">
          <cell r="A140" t="str">
            <v>plw</v>
          </cell>
          <cell r="O140" t="str">
            <v>31.4</v>
          </cell>
        </row>
        <row r="141">
          <cell r="A141" t="str">
            <v>png</v>
          </cell>
          <cell r="O141" t="str">
            <v>3.7</v>
          </cell>
        </row>
        <row r="142">
          <cell r="A142" t="str">
            <v>pol</v>
          </cell>
          <cell r="O142" t="str">
            <v>39.6</v>
          </cell>
        </row>
        <row r="143">
          <cell r="A143" t="str">
            <v>prk</v>
          </cell>
          <cell r="O143" t="str">
            <v>2.4</v>
          </cell>
        </row>
        <row r="144">
          <cell r="A144" t="str">
            <v>prt</v>
          </cell>
          <cell r="O144" t="str">
            <v>23</v>
          </cell>
        </row>
        <row r="145">
          <cell r="A145" t="str">
            <v>pry</v>
          </cell>
          <cell r="O145" t="str">
            <v>14.9</v>
          </cell>
        </row>
        <row r="146">
          <cell r="A146" t="str">
            <v>pse</v>
          </cell>
          <cell r="O146" t="str">
            <v>10</v>
          </cell>
        </row>
        <row r="147">
          <cell r="A147" t="str">
            <v>qat</v>
          </cell>
          <cell r="O147" t="str">
            <v>15.6</v>
          </cell>
        </row>
        <row r="148">
          <cell r="A148" t="str">
            <v>rou</v>
          </cell>
          <cell r="O148" t="str">
            <v>24.6</v>
          </cell>
        </row>
        <row r="149">
          <cell r="A149" t="str">
            <v>rus</v>
          </cell>
          <cell r="O149" t="str">
            <v>11.5</v>
          </cell>
        </row>
        <row r="150">
          <cell r="A150" t="str">
            <v>rwa</v>
          </cell>
          <cell r="O150" t="str">
            <v>9.1</v>
          </cell>
        </row>
        <row r="151">
          <cell r="A151" t="str">
            <v>sau</v>
          </cell>
          <cell r="O151" t="str">
            <v>18.5</v>
          </cell>
        </row>
        <row r="152">
          <cell r="A152" t="str">
            <v>sdn</v>
          </cell>
          <cell r="O152" t="str">
            <v>2.8</v>
          </cell>
        </row>
        <row r="153">
          <cell r="A153" t="str">
            <v>sen</v>
          </cell>
          <cell r="O153" t="str">
            <v>27.5</v>
          </cell>
        </row>
        <row r="154">
          <cell r="A154" t="str">
            <v>sgp</v>
          </cell>
          <cell r="O154" t="str">
            <v>4.6</v>
          </cell>
        </row>
        <row r="155">
          <cell r="A155" t="str">
            <v>slb</v>
          </cell>
          <cell r="O155" t="str">
            <v>2.4</v>
          </cell>
        </row>
        <row r="156">
          <cell r="A156" t="str">
            <v>sle</v>
          </cell>
          <cell r="O156" t="str">
            <v>12.6</v>
          </cell>
        </row>
        <row r="157">
          <cell r="A157" t="str">
            <v>slv</v>
          </cell>
          <cell r="O157" t="str">
            <v>8.3</v>
          </cell>
        </row>
        <row r="158">
          <cell r="A158" t="str">
            <v>som</v>
          </cell>
        </row>
        <row r="159">
          <cell r="A159" t="str">
            <v>srb</v>
          </cell>
          <cell r="O159" t="str">
            <v>14</v>
          </cell>
        </row>
        <row r="160">
          <cell r="A160" t="str">
            <v>ssd</v>
          </cell>
          <cell r="O160" t="str">
            <v>15.4</v>
          </cell>
        </row>
        <row r="161">
          <cell r="A161" t="str">
            <v>stp</v>
          </cell>
          <cell r="O161" t="str">
            <v>31.7</v>
          </cell>
        </row>
        <row r="162">
          <cell r="A162" t="str">
            <v>sur</v>
          </cell>
          <cell r="O162" t="str">
            <v>14.8</v>
          </cell>
        </row>
        <row r="163">
          <cell r="A163" t="str">
            <v>svk</v>
          </cell>
          <cell r="O163" t="str">
            <v>37.5</v>
          </cell>
        </row>
        <row r="164">
          <cell r="A164" t="str">
            <v>svn</v>
          </cell>
          <cell r="O164" t="str">
            <v>40.4</v>
          </cell>
        </row>
        <row r="165">
          <cell r="A165" t="str">
            <v>swe</v>
          </cell>
          <cell r="O165" t="str">
            <v>15.8</v>
          </cell>
        </row>
        <row r="166">
          <cell r="A166" t="str">
            <v>swz</v>
          </cell>
          <cell r="O166" t="str">
            <v>4.2</v>
          </cell>
        </row>
        <row r="167">
          <cell r="A167" t="str">
            <v>syc</v>
          </cell>
          <cell r="O167" t="str">
            <v>68.1</v>
          </cell>
        </row>
        <row r="168">
          <cell r="A168" t="str">
            <v>syr</v>
          </cell>
          <cell r="O168" t="str">
            <v>0.7</v>
          </cell>
        </row>
        <row r="169">
          <cell r="A169" t="str">
            <v>tcd</v>
          </cell>
          <cell r="O169" t="str">
            <v>21</v>
          </cell>
        </row>
        <row r="170">
          <cell r="A170" t="str">
            <v>tgo</v>
          </cell>
          <cell r="O170" t="str">
            <v>27.9</v>
          </cell>
        </row>
        <row r="171">
          <cell r="A171" t="str">
            <v>tha</v>
          </cell>
          <cell r="O171" t="str">
            <v>18.4</v>
          </cell>
        </row>
        <row r="172">
          <cell r="A172" t="str">
            <v>tjk</v>
          </cell>
          <cell r="O172" t="str">
            <v>22.6</v>
          </cell>
        </row>
        <row r="173">
          <cell r="A173" t="str">
            <v>tkm</v>
          </cell>
          <cell r="O173" t="str">
            <v>4.3</v>
          </cell>
        </row>
        <row r="174">
          <cell r="A174" t="str">
            <v>tls</v>
          </cell>
          <cell r="O174" t="str">
            <v>16.1</v>
          </cell>
        </row>
        <row r="175">
          <cell r="A175" t="str">
            <v>ton</v>
          </cell>
          <cell r="O175" t="str">
            <v>13.3</v>
          </cell>
        </row>
        <row r="176">
          <cell r="A176" t="str">
            <v>tto</v>
          </cell>
          <cell r="O176" t="str">
            <v>30.6</v>
          </cell>
        </row>
        <row r="177">
          <cell r="A177" t="str">
            <v>tun</v>
          </cell>
          <cell r="O177" t="str">
            <v>7.9</v>
          </cell>
        </row>
        <row r="178">
          <cell r="A178" t="str">
            <v>tur</v>
          </cell>
          <cell r="O178" t="str">
            <v>7</v>
          </cell>
        </row>
        <row r="179">
          <cell r="A179" t="str">
            <v>tuv</v>
          </cell>
          <cell r="O179" t="str">
            <v>20.2</v>
          </cell>
        </row>
        <row r="180">
          <cell r="A180" t="str">
            <v>tza</v>
          </cell>
          <cell r="O180" t="str">
            <v>39.9</v>
          </cell>
        </row>
        <row r="181">
          <cell r="A181" t="str">
            <v>uga</v>
          </cell>
          <cell r="O181" t="str">
            <v>16.1</v>
          </cell>
        </row>
        <row r="182">
          <cell r="A182" t="str">
            <v>ukr</v>
          </cell>
          <cell r="O182" t="str">
            <v>17.1</v>
          </cell>
        </row>
        <row r="183">
          <cell r="A183" t="str">
            <v>ury</v>
          </cell>
          <cell r="O183" t="str">
            <v>3.1</v>
          </cell>
        </row>
        <row r="184">
          <cell r="A184" t="str">
            <v>usa</v>
          </cell>
          <cell r="O184" t="str">
            <v>12.9</v>
          </cell>
        </row>
        <row r="185">
          <cell r="A185" t="str">
            <v>uzb</v>
          </cell>
          <cell r="O185" t="str">
            <v>14.1</v>
          </cell>
        </row>
        <row r="186">
          <cell r="A186" t="str">
            <v>vct</v>
          </cell>
          <cell r="O186" t="str">
            <v>22.6</v>
          </cell>
        </row>
        <row r="187">
          <cell r="A187" t="str">
            <v>ven</v>
          </cell>
          <cell r="O187" t="str">
            <v>56.8</v>
          </cell>
        </row>
        <row r="188">
          <cell r="A188" t="str">
            <v>vnm</v>
          </cell>
          <cell r="O188" t="str">
            <v>7.6</v>
          </cell>
        </row>
        <row r="189">
          <cell r="A189" t="str">
            <v>vut</v>
          </cell>
          <cell r="O189" t="str">
            <v>4.8</v>
          </cell>
        </row>
        <row r="190">
          <cell r="A190" t="str">
            <v>wsm</v>
          </cell>
          <cell r="O190" t="str">
            <v>7.9</v>
          </cell>
        </row>
        <row r="191">
          <cell r="A191" t="str">
            <v>yem</v>
          </cell>
          <cell r="O191" t="str">
            <v>1.1</v>
          </cell>
        </row>
        <row r="192">
          <cell r="A192" t="str">
            <v>zaf</v>
          </cell>
          <cell r="O192" t="str">
            <v>9.6</v>
          </cell>
        </row>
        <row r="193">
          <cell r="A193" t="str">
            <v>zmb</v>
          </cell>
          <cell r="O193" t="str">
            <v>41.3</v>
          </cell>
        </row>
        <row r="194">
          <cell r="A194" t="str">
            <v>zwe</v>
          </cell>
          <cell r="O194" t="str">
            <v>28.3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r_mrn_ptmr_zs"/>
    </sheetNames>
    <sheetDataSet>
      <sheetData sheetId="0">
        <row r="2">
          <cell r="A2" t="str">
            <v>ago</v>
          </cell>
        </row>
        <row r="3">
          <cell r="A3" t="str">
            <v>alb</v>
          </cell>
          <cell r="O3" t="str">
            <v>3.4</v>
          </cell>
        </row>
        <row r="4">
          <cell r="A4" t="str">
            <v>are</v>
          </cell>
          <cell r="O4" t="str">
            <v>12</v>
          </cell>
        </row>
        <row r="5">
          <cell r="A5" t="str">
            <v>arg</v>
          </cell>
          <cell r="O5" t="str">
            <v>12</v>
          </cell>
        </row>
        <row r="6">
          <cell r="A6" t="str">
            <v>atg</v>
          </cell>
          <cell r="O6" t="str">
            <v>0.7</v>
          </cell>
        </row>
        <row r="7">
          <cell r="A7" t="str">
            <v>aus</v>
          </cell>
          <cell r="O7" t="str">
            <v>45.4</v>
          </cell>
        </row>
        <row r="8">
          <cell r="A8" t="str">
            <v>aze</v>
          </cell>
          <cell r="O8" t="str">
            <v>1</v>
          </cell>
        </row>
        <row r="9">
          <cell r="A9" t="str">
            <v>bel</v>
          </cell>
          <cell r="O9" t="str">
            <v>38.3</v>
          </cell>
        </row>
        <row r="10">
          <cell r="A10" t="str">
            <v>ben</v>
          </cell>
          <cell r="O10" t="str">
            <v>0.8</v>
          </cell>
        </row>
        <row r="11">
          <cell r="A11" t="str">
            <v>bgd</v>
          </cell>
          <cell r="O11" t="str">
            <v>8.6</v>
          </cell>
        </row>
        <row r="12">
          <cell r="A12" t="str">
            <v>bgr</v>
          </cell>
          <cell r="O12" t="str">
            <v>8.2</v>
          </cell>
        </row>
        <row r="13">
          <cell r="A13" t="str">
            <v>bhr</v>
          </cell>
          <cell r="O13" t="str">
            <v>21.4</v>
          </cell>
        </row>
        <row r="14">
          <cell r="A14" t="str">
            <v>bhs</v>
          </cell>
          <cell r="O14" t="str">
            <v>7.7</v>
          </cell>
        </row>
        <row r="15">
          <cell r="A15" t="str">
            <v>bih</v>
          </cell>
        </row>
        <row r="16">
          <cell r="A16" t="str">
            <v>blz</v>
          </cell>
          <cell r="O16" t="str">
            <v>20.4</v>
          </cell>
        </row>
        <row r="17">
          <cell r="A17" t="str">
            <v>bra</v>
          </cell>
          <cell r="O17" t="str">
            <v>26.6</v>
          </cell>
        </row>
        <row r="18">
          <cell r="A18" t="str">
            <v>brb</v>
          </cell>
        </row>
        <row r="19">
          <cell r="A19" t="str">
            <v>brn</v>
          </cell>
        </row>
        <row r="20">
          <cell r="A20" t="str">
            <v>can</v>
          </cell>
          <cell r="O20" t="str">
            <v>9.2</v>
          </cell>
        </row>
        <row r="21">
          <cell r="A21" t="str">
            <v>chl</v>
          </cell>
          <cell r="O21" t="str">
            <v>41.2</v>
          </cell>
        </row>
        <row r="22">
          <cell r="A22" t="str">
            <v>chn</v>
          </cell>
          <cell r="O22" t="str">
            <v>4.8</v>
          </cell>
        </row>
        <row r="23">
          <cell r="A23" t="str">
            <v>civ</v>
          </cell>
          <cell r="O23" t="str">
            <v>0.2</v>
          </cell>
        </row>
        <row r="24">
          <cell r="A24" t="str">
            <v>cmr</v>
          </cell>
          <cell r="O24" t="str">
            <v>11.4</v>
          </cell>
        </row>
        <row r="25">
          <cell r="A25" t="str">
            <v>cod</v>
          </cell>
          <cell r="O25" t="str">
            <v>0.5</v>
          </cell>
        </row>
        <row r="26">
          <cell r="A26" t="str">
            <v>cog</v>
          </cell>
          <cell r="O26" t="str">
            <v>14.1</v>
          </cell>
        </row>
        <row r="27">
          <cell r="A27" t="str">
            <v>col</v>
          </cell>
          <cell r="O27" t="str">
            <v>41.1</v>
          </cell>
        </row>
        <row r="28">
          <cell r="A28" t="str">
            <v>com</v>
          </cell>
          <cell r="O28" t="str">
            <v>0.4</v>
          </cell>
        </row>
        <row r="29">
          <cell r="A29" t="str">
            <v>cpv</v>
          </cell>
          <cell r="O29" t="str">
            <v>0.1</v>
          </cell>
        </row>
        <row r="30">
          <cell r="A30" t="str">
            <v>cri</v>
          </cell>
          <cell r="O30" t="str">
            <v>28.4</v>
          </cell>
        </row>
        <row r="31">
          <cell r="A31" t="str">
            <v>cub</v>
          </cell>
          <cell r="O31" t="str">
            <v>4.2</v>
          </cell>
        </row>
        <row r="32">
          <cell r="A32" t="str">
            <v>cyp</v>
          </cell>
          <cell r="O32" t="str">
            <v>8.6</v>
          </cell>
        </row>
        <row r="33">
          <cell r="A33" t="str">
            <v>deu</v>
          </cell>
          <cell r="O33" t="str">
            <v>45.3</v>
          </cell>
        </row>
        <row r="34">
          <cell r="A34" t="str">
            <v>dji</v>
          </cell>
          <cell r="O34" t="str">
            <v>0.2</v>
          </cell>
        </row>
        <row r="35">
          <cell r="A35" t="str">
            <v>dma</v>
          </cell>
          <cell r="O35" t="str">
            <v>0.1</v>
          </cell>
        </row>
        <row r="36">
          <cell r="A36" t="str">
            <v>dnk</v>
          </cell>
          <cell r="O36" t="str">
            <v>27.1</v>
          </cell>
        </row>
        <row r="37">
          <cell r="A37" t="str">
            <v>dom</v>
          </cell>
          <cell r="O37" t="str">
            <v>13.3</v>
          </cell>
        </row>
        <row r="38">
          <cell r="A38" t="str">
            <v>dza</v>
          </cell>
          <cell r="O38" t="str">
            <v>0.1</v>
          </cell>
        </row>
        <row r="39">
          <cell r="A39" t="str">
            <v>ecu</v>
          </cell>
          <cell r="O39" t="str">
            <v>19.3</v>
          </cell>
        </row>
        <row r="40">
          <cell r="A40" t="str">
            <v>egy</v>
          </cell>
          <cell r="O40" t="str">
            <v>5.1</v>
          </cell>
        </row>
        <row r="41">
          <cell r="A41" t="str">
            <v>eri</v>
          </cell>
        </row>
        <row r="42">
          <cell r="A42" t="str">
            <v>esp</v>
          </cell>
          <cell r="O42" t="str">
            <v>19</v>
          </cell>
        </row>
        <row r="43">
          <cell r="A43" t="str">
            <v>est</v>
          </cell>
          <cell r="O43" t="str">
            <v>19.2</v>
          </cell>
        </row>
        <row r="44">
          <cell r="A44" t="str">
            <v>fin</v>
          </cell>
          <cell r="O44" t="str">
            <v>11.8</v>
          </cell>
        </row>
        <row r="45">
          <cell r="A45" t="str">
            <v>fji</v>
          </cell>
          <cell r="O45" t="str">
            <v>0.9</v>
          </cell>
        </row>
        <row r="46">
          <cell r="A46" t="str">
            <v>fra</v>
          </cell>
          <cell r="O46" t="str">
            <v>49.2</v>
          </cell>
        </row>
        <row r="47">
          <cell r="A47" t="str">
            <v>fsm</v>
          </cell>
        </row>
        <row r="48">
          <cell r="A48" t="str">
            <v>gab</v>
          </cell>
          <cell r="O48" t="str">
            <v>26.8</v>
          </cell>
        </row>
        <row r="49">
          <cell r="A49" t="str">
            <v>gbr</v>
          </cell>
          <cell r="O49" t="str">
            <v>46.8</v>
          </cell>
        </row>
        <row r="50">
          <cell r="A50" t="str">
            <v>geo</v>
          </cell>
          <cell r="O50" t="str">
            <v>0.8</v>
          </cell>
        </row>
        <row r="51">
          <cell r="A51" t="str">
            <v>gha</v>
          </cell>
        </row>
        <row r="52">
          <cell r="A52" t="str">
            <v>gin</v>
          </cell>
          <cell r="O52" t="str">
            <v>0.6</v>
          </cell>
        </row>
        <row r="53">
          <cell r="A53" t="str">
            <v>gmb</v>
          </cell>
          <cell r="O53" t="str">
            <v>0.7</v>
          </cell>
        </row>
        <row r="54">
          <cell r="A54" t="str">
            <v>gnb</v>
          </cell>
          <cell r="O54" t="str">
            <v>9.1</v>
          </cell>
        </row>
        <row r="55">
          <cell r="A55" t="str">
            <v>gnq</v>
          </cell>
          <cell r="O55" t="str">
            <v>0.3</v>
          </cell>
        </row>
        <row r="56">
          <cell r="A56" t="str">
            <v>grc</v>
          </cell>
          <cell r="O56" t="str">
            <v>4.7</v>
          </cell>
        </row>
        <row r="57">
          <cell r="A57" t="str">
            <v>grd</v>
          </cell>
          <cell r="O57" t="str">
            <v>0.1</v>
          </cell>
        </row>
        <row r="58">
          <cell r="A58" t="str">
            <v>gtm</v>
          </cell>
          <cell r="O58" t="str">
            <v>0.9</v>
          </cell>
        </row>
        <row r="59">
          <cell r="A59" t="str">
            <v>guy</v>
          </cell>
        </row>
        <row r="60">
          <cell r="A60" t="str">
            <v>hnd</v>
          </cell>
          <cell r="O60" t="str">
            <v>4.9</v>
          </cell>
        </row>
        <row r="61">
          <cell r="A61" t="str">
            <v>hrv</v>
          </cell>
          <cell r="O61" t="str">
            <v>9.3</v>
          </cell>
        </row>
        <row r="62">
          <cell r="A62" t="str">
            <v>hti</v>
          </cell>
          <cell r="O62" t="str">
            <v>1.8</v>
          </cell>
        </row>
        <row r="63">
          <cell r="A63" t="str">
            <v>idn</v>
          </cell>
          <cell r="O63" t="str">
            <v>3</v>
          </cell>
        </row>
        <row r="64">
          <cell r="A64" t="str">
            <v>ind</v>
          </cell>
          <cell r="O64" t="str">
            <v>0.3</v>
          </cell>
        </row>
        <row r="65">
          <cell r="A65" t="str">
            <v>irl</v>
          </cell>
          <cell r="O65" t="str">
            <v>2.4</v>
          </cell>
        </row>
        <row r="66">
          <cell r="A66" t="str">
            <v>irn</v>
          </cell>
          <cell r="O66" t="str">
            <v>0.9</v>
          </cell>
        </row>
        <row r="67">
          <cell r="A67" t="str">
            <v>irq</v>
          </cell>
        </row>
        <row r="68">
          <cell r="A68" t="str">
            <v>isl</v>
          </cell>
          <cell r="O68" t="str">
            <v>0.5</v>
          </cell>
        </row>
        <row r="69">
          <cell r="A69" t="str">
            <v>isr</v>
          </cell>
          <cell r="O69" t="str">
            <v>0.6</v>
          </cell>
        </row>
        <row r="70">
          <cell r="A70" t="str">
            <v>ita</v>
          </cell>
          <cell r="O70" t="str">
            <v>11</v>
          </cell>
        </row>
        <row r="71">
          <cell r="A71" t="str">
            <v>jam</v>
          </cell>
          <cell r="O71" t="str">
            <v>0.7</v>
          </cell>
        </row>
        <row r="72">
          <cell r="A72" t="str">
            <v>jor</v>
          </cell>
          <cell r="O72" t="str">
            <v>2.8</v>
          </cell>
        </row>
        <row r="73">
          <cell r="A73" t="str">
            <v>jpn</v>
          </cell>
          <cell r="O73" t="str">
            <v>13.8</v>
          </cell>
        </row>
        <row r="74">
          <cell r="A74" t="str">
            <v>kaz</v>
          </cell>
          <cell r="O74" t="str">
            <v>52.5</v>
          </cell>
        </row>
        <row r="75">
          <cell r="A75" t="str">
            <v>ken</v>
          </cell>
          <cell r="O75" t="str">
            <v>0.7</v>
          </cell>
        </row>
        <row r="76">
          <cell r="A76" t="str">
            <v>khm</v>
          </cell>
          <cell r="O76" t="str">
            <v>1.5</v>
          </cell>
        </row>
        <row r="77">
          <cell r="A77" t="str">
            <v>kir</v>
          </cell>
          <cell r="O77" t="str">
            <v>11.9</v>
          </cell>
        </row>
        <row r="78">
          <cell r="A78" t="str">
            <v>kna</v>
          </cell>
          <cell r="O78" t="str">
            <v>4.5</v>
          </cell>
        </row>
        <row r="79">
          <cell r="A79" t="str">
            <v>kor</v>
          </cell>
          <cell r="O79" t="str">
            <v>2.3</v>
          </cell>
        </row>
        <row r="80">
          <cell r="A80" t="str">
            <v>kwt</v>
          </cell>
          <cell r="O80" t="str">
            <v>3.2</v>
          </cell>
        </row>
        <row r="81">
          <cell r="A81" t="str">
            <v>lbn</v>
          </cell>
          <cell r="O81" t="str">
            <v>0.2</v>
          </cell>
        </row>
        <row r="82">
          <cell r="A82" t="str">
            <v>lbr</v>
          </cell>
          <cell r="O82" t="str">
            <v>0.1</v>
          </cell>
        </row>
        <row r="83">
          <cell r="A83" t="str">
            <v>lby</v>
          </cell>
          <cell r="O83" t="str">
            <v>0.6</v>
          </cell>
        </row>
        <row r="84">
          <cell r="A84" t="str">
            <v>lca</v>
          </cell>
          <cell r="O84" t="str">
            <v>0.3</v>
          </cell>
        </row>
        <row r="85">
          <cell r="A85" t="str">
            <v>lka</v>
          </cell>
          <cell r="O85" t="str">
            <v>0.3</v>
          </cell>
        </row>
        <row r="86">
          <cell r="A86" t="str">
            <v>ltu</v>
          </cell>
          <cell r="O86" t="str">
            <v>23.2</v>
          </cell>
        </row>
        <row r="87">
          <cell r="A87" t="str">
            <v>lva</v>
          </cell>
          <cell r="O87" t="str">
            <v>16.4</v>
          </cell>
        </row>
        <row r="88">
          <cell r="A88" t="str">
            <v>mar</v>
          </cell>
          <cell r="O88" t="str">
            <v>0.3</v>
          </cell>
        </row>
        <row r="89">
          <cell r="A89" t="str">
            <v>mco</v>
          </cell>
          <cell r="O89" t="str">
            <v>100</v>
          </cell>
        </row>
        <row r="90">
          <cell r="A90" t="str">
            <v>mdg</v>
          </cell>
          <cell r="O90" t="str">
            <v>1.4</v>
          </cell>
        </row>
        <row r="91">
          <cell r="A91" t="str">
            <v>mdv</v>
          </cell>
          <cell r="O91" t="str">
            <v>0.1</v>
          </cell>
        </row>
        <row r="92">
          <cell r="A92" t="str">
            <v>mex</v>
          </cell>
          <cell r="O92" t="str">
            <v>22.6</v>
          </cell>
        </row>
        <row r="93">
          <cell r="A93" t="str">
            <v>mhl</v>
          </cell>
          <cell r="O93" t="str">
            <v>0.3</v>
          </cell>
        </row>
        <row r="94">
          <cell r="A94" t="str">
            <v>mlt</v>
          </cell>
          <cell r="O94" t="str">
            <v>7.8</v>
          </cell>
        </row>
        <row r="95">
          <cell r="A95" t="str">
            <v>mmr</v>
          </cell>
          <cell r="O95" t="str">
            <v>0.6</v>
          </cell>
        </row>
        <row r="96">
          <cell r="A96" t="str">
            <v>mne</v>
          </cell>
          <cell r="O96" t="str">
            <v>5.3</v>
          </cell>
        </row>
        <row r="97">
          <cell r="A97" t="str">
            <v>moz</v>
          </cell>
          <cell r="O97" t="str">
            <v>2.1</v>
          </cell>
        </row>
        <row r="98">
          <cell r="A98" t="str">
            <v>mrt</v>
          </cell>
          <cell r="O98" t="str">
            <v>3.7</v>
          </cell>
        </row>
        <row r="99">
          <cell r="A99" t="str">
            <v>mus</v>
          </cell>
        </row>
        <row r="100">
          <cell r="A100" t="str">
            <v>mys</v>
          </cell>
          <cell r="O100" t="str">
            <v>4.8</v>
          </cell>
        </row>
        <row r="101">
          <cell r="A101" t="str">
            <v>nam</v>
          </cell>
          <cell r="O101" t="str">
            <v>1.7</v>
          </cell>
        </row>
        <row r="102">
          <cell r="A102" t="str">
            <v>nga</v>
          </cell>
        </row>
        <row r="103">
          <cell r="A103" t="str">
            <v>nic</v>
          </cell>
          <cell r="O103" t="str">
            <v>3.6</v>
          </cell>
        </row>
        <row r="104">
          <cell r="A104" t="str">
            <v>nld</v>
          </cell>
          <cell r="O104" t="str">
            <v>33.5</v>
          </cell>
        </row>
        <row r="105">
          <cell r="A105" t="str">
            <v>nor</v>
          </cell>
          <cell r="O105" t="str">
            <v>1</v>
          </cell>
        </row>
        <row r="106">
          <cell r="A106" t="str">
            <v>nru</v>
          </cell>
        </row>
        <row r="107">
          <cell r="A107" t="str">
            <v>nzl</v>
          </cell>
          <cell r="O107" t="str">
            <v>30.4</v>
          </cell>
        </row>
        <row r="108">
          <cell r="A108" t="str">
            <v>omn</v>
          </cell>
          <cell r="O108" t="str">
            <v>16.2</v>
          </cell>
        </row>
        <row r="109">
          <cell r="A109" t="str">
            <v>pak</v>
          </cell>
          <cell r="O109" t="str">
            <v>1.2</v>
          </cell>
        </row>
        <row r="110">
          <cell r="A110" t="str">
            <v>pan</v>
          </cell>
          <cell r="O110" t="str">
            <v>26.3</v>
          </cell>
        </row>
        <row r="111">
          <cell r="A111" t="str">
            <v>per</v>
          </cell>
          <cell r="O111" t="str">
            <v>7.9</v>
          </cell>
        </row>
        <row r="112">
          <cell r="A112" t="str">
            <v>phl</v>
          </cell>
          <cell r="O112" t="str">
            <v>1.6</v>
          </cell>
        </row>
        <row r="113">
          <cell r="A113" t="str">
            <v>plw</v>
          </cell>
          <cell r="O113" t="str">
            <v>98</v>
          </cell>
        </row>
        <row r="114">
          <cell r="A114" t="str">
            <v>png</v>
          </cell>
          <cell r="O114" t="str">
            <v>0.1</v>
          </cell>
        </row>
        <row r="115">
          <cell r="A115" t="str">
            <v>pol</v>
          </cell>
          <cell r="O115" t="str">
            <v>24</v>
          </cell>
        </row>
        <row r="116">
          <cell r="A116" t="str">
            <v>prk</v>
          </cell>
        </row>
        <row r="117">
          <cell r="A117" t="str">
            <v>prt</v>
          </cell>
          <cell r="O117" t="str">
            <v>16.9</v>
          </cell>
        </row>
        <row r="118">
          <cell r="A118" t="str">
            <v>pse</v>
          </cell>
        </row>
        <row r="119">
          <cell r="A119" t="str">
            <v>qat</v>
          </cell>
          <cell r="O119" t="str">
            <v>2.3</v>
          </cell>
        </row>
        <row r="120">
          <cell r="A120" t="str">
            <v>rou</v>
          </cell>
          <cell r="O120" t="str">
            <v>21.5</v>
          </cell>
        </row>
        <row r="121">
          <cell r="A121" t="str">
            <v>rus</v>
          </cell>
          <cell r="O121" t="str">
            <v>2.2</v>
          </cell>
        </row>
        <row r="122">
          <cell r="A122" t="str">
            <v>sau</v>
          </cell>
          <cell r="O122" t="str">
            <v>3.5</v>
          </cell>
        </row>
        <row r="123">
          <cell r="A123" t="str">
            <v>sdn</v>
          </cell>
          <cell r="O123" t="str">
            <v>17</v>
          </cell>
        </row>
        <row r="124">
          <cell r="A124" t="str">
            <v>sen</v>
          </cell>
          <cell r="O124" t="str">
            <v>3.1</v>
          </cell>
        </row>
        <row r="125">
          <cell r="A125" t="str">
            <v>sgp</v>
          </cell>
        </row>
        <row r="126">
          <cell r="A126" t="str">
            <v>slb</v>
          </cell>
          <cell r="O126" t="str">
            <v>0.1</v>
          </cell>
        </row>
        <row r="127">
          <cell r="A127" t="str">
            <v>sle</v>
          </cell>
          <cell r="O127" t="str">
            <v>1.7</v>
          </cell>
        </row>
        <row r="128">
          <cell r="A128" t="str">
            <v>slv</v>
          </cell>
          <cell r="O128" t="str">
            <v>0.8</v>
          </cell>
        </row>
        <row r="129">
          <cell r="A129" t="str">
            <v>som</v>
          </cell>
        </row>
        <row r="130">
          <cell r="A130" t="str">
            <v>stp</v>
          </cell>
        </row>
        <row r="131">
          <cell r="A131" t="str">
            <v>sur</v>
          </cell>
          <cell r="O131" t="str">
            <v>1.5</v>
          </cell>
        </row>
        <row r="132">
          <cell r="A132" t="str">
            <v>svn</v>
          </cell>
          <cell r="O132" t="str">
            <v>2.9</v>
          </cell>
        </row>
        <row r="133">
          <cell r="A133" t="str">
            <v>swe</v>
          </cell>
          <cell r="O133" t="str">
            <v>16.1</v>
          </cell>
        </row>
        <row r="134">
          <cell r="A134" t="str">
            <v>syc</v>
          </cell>
          <cell r="O134" t="str">
            <v>32.6</v>
          </cell>
        </row>
        <row r="135">
          <cell r="A135" t="str">
            <v>syr</v>
          </cell>
          <cell r="O135" t="str">
            <v>0.2</v>
          </cell>
        </row>
        <row r="136">
          <cell r="A136" t="str">
            <v>tgo</v>
          </cell>
          <cell r="O136" t="str">
            <v>0.7</v>
          </cell>
        </row>
        <row r="137">
          <cell r="A137" t="str">
            <v>tha</v>
          </cell>
          <cell r="O137" t="str">
            <v>5</v>
          </cell>
        </row>
        <row r="138">
          <cell r="A138" t="str">
            <v>tkm</v>
          </cell>
          <cell r="O138" t="str">
            <v>4.2</v>
          </cell>
        </row>
        <row r="139">
          <cell r="A139" t="str">
            <v>tls</v>
          </cell>
          <cell r="O139" t="str">
            <v>0.7</v>
          </cell>
        </row>
        <row r="140">
          <cell r="A140" t="str">
            <v>ton</v>
          </cell>
          <cell r="O140" t="str">
            <v>0.1</v>
          </cell>
        </row>
        <row r="141">
          <cell r="A141" t="str">
            <v>tto</v>
          </cell>
          <cell r="O141" t="str">
            <v>0.1</v>
          </cell>
        </row>
        <row r="142">
          <cell r="A142" t="str">
            <v>tun</v>
          </cell>
          <cell r="O142" t="str">
            <v>1.1</v>
          </cell>
        </row>
        <row r="143">
          <cell r="A143" t="str">
            <v>tur</v>
          </cell>
          <cell r="O143" t="str">
            <v>1.7</v>
          </cell>
        </row>
        <row r="144">
          <cell r="A144" t="str">
            <v>tuv</v>
          </cell>
        </row>
        <row r="145">
          <cell r="A145" t="str">
            <v>tza</v>
          </cell>
          <cell r="O145" t="str">
            <v>2.3</v>
          </cell>
        </row>
        <row r="146">
          <cell r="A146" t="str">
            <v>ukr</v>
          </cell>
          <cell r="O146" t="str">
            <v>21.6</v>
          </cell>
        </row>
        <row r="147">
          <cell r="A147" t="str">
            <v>ury</v>
          </cell>
          <cell r="O147" t="str">
            <v>1.5</v>
          </cell>
        </row>
        <row r="148">
          <cell r="A148" t="str">
            <v>usa</v>
          </cell>
          <cell r="O148" t="str">
            <v>19</v>
          </cell>
        </row>
        <row r="149">
          <cell r="A149" t="str">
            <v>vct</v>
          </cell>
          <cell r="O149" t="str">
            <v>0.2</v>
          </cell>
        </row>
        <row r="150">
          <cell r="A150" t="str">
            <v>ven</v>
          </cell>
          <cell r="O150" t="str">
            <v>4.4</v>
          </cell>
        </row>
        <row r="151">
          <cell r="A151" t="str">
            <v>vnm</v>
          </cell>
          <cell r="O151" t="str">
            <v>0.5</v>
          </cell>
        </row>
        <row r="152">
          <cell r="A152" t="str">
            <v>vut</v>
          </cell>
        </row>
        <row r="153">
          <cell r="A153" t="str">
            <v>wsm</v>
          </cell>
          <cell r="O153" t="str">
            <v>0.2</v>
          </cell>
        </row>
        <row r="154">
          <cell r="A154" t="str">
            <v>yem</v>
          </cell>
          <cell r="O154" t="str">
            <v>0.4</v>
          </cell>
        </row>
        <row r="155">
          <cell r="A155" t="str">
            <v>zaf</v>
          </cell>
          <cell r="O155" t="str">
            <v>15.4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apminder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6"/>
  <sheetViews>
    <sheetView zoomScale="140" zoomScaleNormal="140" workbookViewId="0">
      <selection activeCell="E2" sqref="E2:E196"/>
    </sheetView>
  </sheetViews>
  <sheetFormatPr baseColWidth="10" defaultRowHeight="16" x14ac:dyDescent="0.2"/>
  <cols>
    <col min="3" max="3" width="17.33203125" customWidth="1"/>
    <col min="5" max="20" width="10.83203125" style="17"/>
  </cols>
  <sheetData>
    <row r="1" spans="1:20" x14ac:dyDescent="0.2">
      <c r="A1" s="2" t="s">
        <v>0</v>
      </c>
      <c r="B1" s="2" t="s">
        <v>1</v>
      </c>
      <c r="C1" s="2" t="s">
        <v>634</v>
      </c>
      <c r="D1" s="2" t="s">
        <v>636</v>
      </c>
      <c r="E1" s="13" t="s">
        <v>637</v>
      </c>
      <c r="F1" s="13" t="s">
        <v>585</v>
      </c>
      <c r="G1" s="13" t="s">
        <v>598</v>
      </c>
      <c r="H1" s="14" t="s">
        <v>586</v>
      </c>
      <c r="I1" s="14" t="s">
        <v>587</v>
      </c>
      <c r="J1" s="14" t="s">
        <v>639</v>
      </c>
      <c r="K1" s="14" t="s">
        <v>599</v>
      </c>
      <c r="L1" s="15" t="s">
        <v>588</v>
      </c>
      <c r="M1" s="15" t="s">
        <v>638</v>
      </c>
      <c r="N1" s="16" t="s">
        <v>589</v>
      </c>
      <c r="O1" s="16" t="s">
        <v>590</v>
      </c>
      <c r="P1" s="16" t="s">
        <v>591</v>
      </c>
      <c r="Q1" s="16" t="s">
        <v>592</v>
      </c>
      <c r="R1" s="16" t="s">
        <v>593</v>
      </c>
      <c r="S1" s="16" t="s">
        <v>594</v>
      </c>
      <c r="T1" s="16" t="s">
        <v>595</v>
      </c>
    </row>
    <row r="2" spans="1:20" x14ac:dyDescent="0.2">
      <c r="A2" t="s">
        <v>2</v>
      </c>
      <c r="B2" t="s">
        <v>3</v>
      </c>
      <c r="C2" s="18" t="str">
        <f>_xlfn.XLOOKUP(A2,[1]Tabelle1!$A$2:$A$196,[1]Tabelle1!$C$2:$C$196)</f>
        <v>asia</v>
      </c>
      <c r="D2" t="s">
        <v>4</v>
      </c>
      <c r="E2" s="17" t="str">
        <f>_xlfn.XLOOKUP(A2,[2]lex!$A$2:$A$195, [2]lex!$HU$2:$HU$195)</f>
        <v>69.33</v>
      </c>
      <c r="F2" s="17" t="str">
        <f>_xlfn.XLOOKUP(A2,[3]gdp_pcap!$A$2:$A$194,[3]gdp_pcap!$HT$2:$HT$194 )</f>
        <v>2092.54588</v>
      </c>
      <c r="G2" s="17" t="str">
        <f>_xlfn.XLOOKUP($A2,[4]ag_lnd_totl_k2!$A$2:$A$195, [4]ag_lnd_totl_k2!$BM$2:$BM$195)</f>
        <v>652230</v>
      </c>
      <c r="H2" s="17" t="str">
        <f>_xlfn.XLOOKUP($A2,[5]industrial_water_withdrawal_per!$A$2:$A$179,[5]industrial_water_withdrawal_per!$BH$2:$BH$179 )</f>
        <v>0.83199</v>
      </c>
      <c r="I2" s="17" t="str">
        <f>_xlfn.XLOOKUP($A2,[6]agricultural_water_withdrawal_p!$A$2:$A$180,[6]agricultural_water_withdrawal_p!$BH$2:$BH$180 )</f>
        <v>98.17</v>
      </c>
      <c r="J2" s="17" t="str">
        <f>_xlfn.XLOOKUP($A2,[7]total_water_withdrawal_billion_!$A$2:$A$180, [7]total_water_withdrawal_billion_!$BK$2:$BK$180  )</f>
        <v>20.373</v>
      </c>
      <c r="K2" s="17" t="e">
        <f>_xlfn.XLOOKUP($A2,[8]hydro_power_generation_total!$A$2:$A$119,[8]hydro_power_generation_total!$BA$2:$BA$119 )</f>
        <v>#N/A</v>
      </c>
      <c r="L2" s="17" t="str">
        <f>_xlfn.XLOOKUP($A2,[9]ag_lnd_prcp_mm!$A$2:$A$182, [9]ag_lnd_prcp_mm!$BL$2:$BL$182)</f>
        <v>327</v>
      </c>
      <c r="M2" s="17" t="str">
        <f>_xlfn.XLOOKUP($A2,[10]co2_pcap_cons!$A$2:$A$193, [10]co2_pcap_cons!$HQ$2:$HQ$193)</f>
        <v>0.284</v>
      </c>
      <c r="N2" s="17">
        <f>_xlfn.XLOOKUP($A2,[11]primary_forest_area_ha!$A$2:$A$193, [11]primary_forest_area_ha!$AD$2:$AD$193)</f>
        <v>0</v>
      </c>
      <c r="O2" s="17" t="str">
        <f>_xlfn.XLOOKUP($A2,[12]en_mam_thrd_no!$A$2:$A$195,[12]en_mam_thrd_no!$G$2:$G$195)</f>
        <v>12</v>
      </c>
      <c r="P2" s="17" t="str">
        <f>_xlfn.XLOOKUP($A2,[13]en_fsh_thrd_no!$A$2:$A$195,[13]en_fsh_thrd_no!$G$2:$G$195)</f>
        <v>11</v>
      </c>
      <c r="Q2" s="17" t="str">
        <f>_xlfn.XLOOKUP($A2,[14]en_bir_thrd_no!$A$2:$A$195,[14]en_bir_thrd_no!$G$2:$G$195)</f>
        <v>16</v>
      </c>
      <c r="R2" s="17" t="str">
        <f>_xlfn.XLOOKUP($A2,[15]en_hpt_thrd_no!$A$2:$A$195,[15]en_hpt_thrd_no!$G$2:$G$195)</f>
        <v>9</v>
      </c>
      <c r="S2" s="17" t="str">
        <f>_xlfn.XLOOKUP($A2,[16]er_lnd_ptld_zs!$A$2:$A$194, [16]er_lnd_ptld_zs!$O$2:$O$194)</f>
        <v>3.6</v>
      </c>
      <c r="T2" s="17" t="e">
        <f>_xlfn.XLOOKUP($A2,[17]er_mrn_ptmr_zs!$A$2:$A$155,[17]er_mrn_ptmr_zs!$O$2:$O$155)</f>
        <v>#N/A</v>
      </c>
    </row>
    <row r="3" spans="1:20" x14ac:dyDescent="0.2">
      <c r="A3" t="s">
        <v>5</v>
      </c>
      <c r="B3" t="s">
        <v>6</v>
      </c>
      <c r="C3" s="18" t="str">
        <f>_xlfn.XLOOKUP(A3,[1]Tabelle1!$A$2:$A$196,[1]Tabelle1!$C$2:$C$196)</f>
        <v>africa</v>
      </c>
      <c r="D3" t="s">
        <v>7</v>
      </c>
      <c r="E3" s="17" t="str">
        <f>_xlfn.XLOOKUP(A3,[2]lex!$A$2:$A$195, [2]lex!$HU$2:$HU$195)</f>
        <v>64.9</v>
      </c>
      <c r="F3" s="17" t="str">
        <f>_xlfn.XLOOKUP(A3,[3]gdp_pcap!$A$2:$A$194,[3]gdp_pcap!$HT$2:$HT$194 )</f>
        <v>7457.17479</v>
      </c>
      <c r="G3" s="17" t="str">
        <f>_xlfn.XLOOKUP($A3,[4]ag_lnd_totl_k2!$A$2:$A$195, [4]ag_lnd_totl_k2!$BM$2:$BM$195)</f>
        <v>1246700</v>
      </c>
      <c r="H3" s="17" t="str">
        <f>_xlfn.XLOOKUP($A3,[5]industrial_water_withdrawal_per!$A$2:$A$179,[5]industrial_water_withdrawal_per!$BH$2:$BH$179 )</f>
        <v>33.947</v>
      </c>
      <c r="I3" s="17" t="str">
        <f>_xlfn.XLOOKUP($A3,[6]agricultural_water_withdrawal_p!$A$2:$A$180,[6]agricultural_water_withdrawal_p!$BH$2:$BH$180 )</f>
        <v>20.785</v>
      </c>
      <c r="J3" s="17" t="str">
        <f>_xlfn.XLOOKUP($A3,[7]total_water_withdrawal_billion_!$A$2:$A$180, [7]total_water_withdrawal_billion_!$BK$2:$BK$180  )</f>
        <v>0.7058</v>
      </c>
      <c r="K3" s="17" t="str">
        <f>_xlfn.XLOOKUP($A3,[8]hydro_power_generation_total!$A$2:$A$119,[8]hydro_power_generation_total!$BA$2:$BA$119 )</f>
        <v>304000</v>
      </c>
      <c r="L3" s="17" t="str">
        <f>_xlfn.XLOOKUP($A3,[9]ag_lnd_prcp_mm!$A$2:$A$182, [9]ag_lnd_prcp_mm!$BL$2:$BL$182)</f>
        <v>1010</v>
      </c>
      <c r="M3" s="17" t="str">
        <f>_xlfn.XLOOKUP($A3,[10]co2_pcap_cons!$A$2:$A$193, [10]co2_pcap_cons!$HQ$2:$HQ$193)</f>
        <v>1.225</v>
      </c>
      <c r="N3" s="17">
        <f>_xlfn.XLOOKUP($A3,[11]primary_forest_area_ha!$A$2:$A$193, [11]primary_forest_area_ha!$AD$2:$AD$193)</f>
        <v>0</v>
      </c>
      <c r="O3" s="17" t="str">
        <f>_xlfn.XLOOKUP($A3,[12]en_mam_thrd_no!$A$2:$A$195,[12]en_mam_thrd_no!$G$2:$G$195)</f>
        <v>24</v>
      </c>
      <c r="P3" s="17" t="str">
        <f>_xlfn.XLOOKUP($A3,[13]en_fsh_thrd_no!$A$2:$A$195,[13]en_fsh_thrd_no!$G$2:$G$195)</f>
        <v>82</v>
      </c>
      <c r="Q3" s="17" t="str">
        <f>_xlfn.XLOOKUP($A3,[14]en_bir_thrd_no!$A$2:$A$195,[14]en_bir_thrd_no!$G$2:$G$195)</f>
        <v>33</v>
      </c>
      <c r="R3" s="17" t="str">
        <f>_xlfn.XLOOKUP($A3,[15]en_hpt_thrd_no!$A$2:$A$195,[15]en_hpt_thrd_no!$G$2:$G$195)</f>
        <v>68</v>
      </c>
      <c r="S3" s="17" t="str">
        <f>_xlfn.XLOOKUP($A3,[16]er_lnd_ptld_zs!$A$2:$A$194, [16]er_lnd_ptld_zs!$O$2:$O$194)</f>
        <v>10.8</v>
      </c>
      <c r="T3" s="17">
        <f>_xlfn.XLOOKUP($A3,[17]er_mrn_ptmr_zs!$A$2:$A$155,[17]er_mrn_ptmr_zs!$O$2:$O$155)</f>
        <v>0</v>
      </c>
    </row>
    <row r="4" spans="1:20" x14ac:dyDescent="0.2">
      <c r="A4" t="s">
        <v>8</v>
      </c>
      <c r="B4" t="s">
        <v>9</v>
      </c>
      <c r="C4" s="18" t="str">
        <f>_xlfn.XLOOKUP(A4,[1]Tabelle1!$A$2:$A$196,[1]Tabelle1!$C$2:$C$196)</f>
        <v>europe</v>
      </c>
      <c r="D4" t="s">
        <v>10</v>
      </c>
      <c r="E4" s="17" t="str">
        <f>_xlfn.XLOOKUP(A4,[2]lex!$A$2:$A$195, [2]lex!$HU$2:$HU$195)</f>
        <v>80.1</v>
      </c>
      <c r="F4" s="17" t="str">
        <f>_xlfn.XLOOKUP(A4,[3]gdp_pcap!$A$2:$A$194,[3]gdp_pcap!$HT$2:$HT$194 )</f>
        <v>20361.79277</v>
      </c>
      <c r="G4" s="17" t="str">
        <f>_xlfn.XLOOKUP($A4,[4]ag_lnd_totl_k2!$A$2:$A$195, [4]ag_lnd_totl_k2!$BM$2:$BM$195)</f>
        <v>27400</v>
      </c>
      <c r="H4" s="17" t="str">
        <f>_xlfn.XLOOKUP($A4,[5]industrial_water_withdrawal_per!$A$2:$A$179,[5]industrial_water_withdrawal_per!$BH$2:$BH$179 )</f>
        <v>1.3802</v>
      </c>
      <c r="I4" s="17" t="str">
        <f>_xlfn.XLOOKUP($A4,[6]agricultural_water_withdrawal_p!$A$2:$A$180,[6]agricultural_water_withdrawal_p!$BH$2:$BH$180 )</f>
        <v>70.891</v>
      </c>
      <c r="J4" s="17" t="str">
        <f>_xlfn.XLOOKUP($A4,[7]total_water_withdrawal_billion_!$A$2:$A$180, [7]total_water_withdrawal_billion_!$BK$2:$BK$180  )</f>
        <v>0.797</v>
      </c>
      <c r="K4" s="17" t="str">
        <f>_xlfn.XLOOKUP($A4,[8]hydro_power_generation_total!$A$2:$A$119,[8]hydro_power_generation_total!$BA$2:$BA$119 )</f>
        <v>651700</v>
      </c>
      <c r="L4" s="17" t="str">
        <f>_xlfn.XLOOKUP($A4,[9]ag_lnd_prcp_mm!$A$2:$A$182, [9]ag_lnd_prcp_mm!$BL$2:$BL$182)</f>
        <v>1485</v>
      </c>
      <c r="M4" s="17" t="str">
        <f>_xlfn.XLOOKUP($A4,[10]co2_pcap_cons!$A$2:$A$193, [10]co2_pcap_cons!$HQ$2:$HQ$193)</f>
        <v>2.103</v>
      </c>
      <c r="N4" s="17" t="str">
        <f>_xlfn.XLOOKUP($A4,[11]primary_forest_area_ha!$A$2:$A$193, [11]primary_forest_area_ha!$AD$2:$AD$193)</f>
        <v>84800</v>
      </c>
      <c r="O4" s="17" t="str">
        <f>_xlfn.XLOOKUP($A4,[12]en_mam_thrd_no!$A$2:$A$195,[12]en_mam_thrd_no!$G$2:$G$195)</f>
        <v>4</v>
      </c>
      <c r="P4" s="17" t="str">
        <f>_xlfn.XLOOKUP($A4,[13]en_fsh_thrd_no!$A$2:$A$195,[13]en_fsh_thrd_no!$G$2:$G$195)</f>
        <v>60</v>
      </c>
      <c r="Q4" s="17" t="str">
        <f>_xlfn.XLOOKUP($A4,[14]en_bir_thrd_no!$A$2:$A$195,[14]en_bir_thrd_no!$G$2:$G$195)</f>
        <v>8</v>
      </c>
      <c r="R4" s="17" t="str">
        <f>_xlfn.XLOOKUP($A4,[15]en_hpt_thrd_no!$A$2:$A$195,[15]en_hpt_thrd_no!$G$2:$G$195)</f>
        <v>5</v>
      </c>
      <c r="S4" s="17" t="str">
        <f>_xlfn.XLOOKUP($A4,[16]er_lnd_ptld_zs!$A$2:$A$194, [16]er_lnd_ptld_zs!$O$2:$O$194)</f>
        <v>23.6</v>
      </c>
      <c r="T4" s="17" t="str">
        <f>_xlfn.XLOOKUP($A4,[17]er_mrn_ptmr_zs!$A$2:$A$155,[17]er_mrn_ptmr_zs!$O$2:$O$155)</f>
        <v>3.4</v>
      </c>
    </row>
    <row r="5" spans="1:20" x14ac:dyDescent="0.2">
      <c r="A5" t="s">
        <v>11</v>
      </c>
      <c r="B5" t="s">
        <v>12</v>
      </c>
      <c r="C5" s="18" t="str">
        <f>_xlfn.XLOOKUP(A5,[1]Tabelle1!$A$2:$A$196,[1]Tabelle1!$C$2:$C$196)</f>
        <v>europe</v>
      </c>
      <c r="D5" t="s">
        <v>13</v>
      </c>
      <c r="E5" s="17" t="str">
        <f>_xlfn.XLOOKUP(A5,[2]lex!$A$2:$A$195, [2]lex!$HU$2:$HU$195)</f>
        <v>84.4</v>
      </c>
      <c r="F5" s="17" t="str">
        <f>_xlfn.XLOOKUP(A5,[3]gdp_pcap!$A$2:$A$194,[3]gdp_pcap!$HT$2:$HT$194 )</f>
        <v>67385.01529</v>
      </c>
      <c r="G5" s="17" t="str">
        <f>_xlfn.XLOOKUP($A5,[4]ag_lnd_totl_k2!$A$2:$A$195, [4]ag_lnd_totl_k2!$BM$2:$BM$195)</f>
        <v>470</v>
      </c>
      <c r="H5" s="17" t="e">
        <f>_xlfn.XLOOKUP($A5,[5]industrial_water_withdrawal_per!$A$2:$A$179,[5]industrial_water_withdrawal_per!$BH$2:$BH$179 )</f>
        <v>#N/A</v>
      </c>
      <c r="I5" s="17" t="e">
        <f>_xlfn.XLOOKUP($A5,[6]agricultural_water_withdrawal_p!$A$2:$A$180,[6]agricultural_water_withdrawal_p!$BH$2:$BH$180 )</f>
        <v>#N/A</v>
      </c>
      <c r="J5" s="17" t="e">
        <f>_xlfn.XLOOKUP($A5,[7]total_water_withdrawal_billion_!$A$2:$A$180, [7]total_water_withdrawal_billion_!$BK$2:$BK$180  )</f>
        <v>#N/A</v>
      </c>
      <c r="K5" s="17" t="e">
        <f>_xlfn.XLOOKUP($A5,[8]hydro_power_generation_total!$A$2:$A$119,[8]hydro_power_generation_total!$BA$2:$BA$119 )</f>
        <v>#N/A</v>
      </c>
      <c r="L5" s="17" t="e">
        <f>_xlfn.XLOOKUP($A5,[9]ag_lnd_prcp_mm!$A$2:$A$182, [9]ag_lnd_prcp_mm!$BL$2:$BL$182)</f>
        <v>#N/A</v>
      </c>
      <c r="M5" s="17" t="str">
        <f>_xlfn.XLOOKUP($A5,[10]co2_pcap_cons!$A$2:$A$193, [10]co2_pcap_cons!$HQ$2:$HQ$193)</f>
        <v>5.909</v>
      </c>
      <c r="N5" s="17">
        <f>_xlfn.XLOOKUP($A5,[11]primary_forest_area_ha!$A$2:$A$193, [11]primary_forest_area_ha!$AD$2:$AD$193)</f>
        <v>0</v>
      </c>
      <c r="O5" s="17" t="str">
        <f>_xlfn.XLOOKUP($A5,[12]en_mam_thrd_no!$A$2:$A$195,[12]en_mam_thrd_no!$G$2:$G$195)</f>
        <v>2</v>
      </c>
      <c r="P5" s="17">
        <f>_xlfn.XLOOKUP($A5,[13]en_fsh_thrd_no!$A$2:$A$195,[13]en_fsh_thrd_no!$G$2:$G$195)</f>
        <v>0</v>
      </c>
      <c r="Q5" s="17" t="str">
        <f>_xlfn.XLOOKUP($A5,[14]en_bir_thrd_no!$A$2:$A$195,[14]en_bir_thrd_no!$G$2:$G$195)</f>
        <v>3</v>
      </c>
      <c r="R5" s="17" t="str">
        <f>_xlfn.XLOOKUP($A5,[15]en_hpt_thrd_no!$A$2:$A$195,[15]en_hpt_thrd_no!$G$2:$G$195)</f>
        <v>1</v>
      </c>
      <c r="S5" s="17" t="str">
        <f>_xlfn.XLOOKUP($A5,[16]er_lnd_ptld_zs!$A$2:$A$194, [16]er_lnd_ptld_zs!$O$2:$O$194)</f>
        <v>27.3</v>
      </c>
      <c r="T5" s="17" t="e">
        <f>_xlfn.XLOOKUP($A5,[17]er_mrn_ptmr_zs!$A$2:$A$155,[17]er_mrn_ptmr_zs!$O$2:$O$155)</f>
        <v>#N/A</v>
      </c>
    </row>
    <row r="6" spans="1:20" x14ac:dyDescent="0.2">
      <c r="A6" t="s">
        <v>14</v>
      </c>
      <c r="B6" t="s">
        <v>15</v>
      </c>
      <c r="C6" s="18" t="str">
        <f>_xlfn.XLOOKUP(A6,[1]Tabelle1!$A$2:$A$196,[1]Tabelle1!$C$2:$C$196)</f>
        <v>asia</v>
      </c>
      <c r="D6" t="s">
        <v>16</v>
      </c>
      <c r="E6" s="17" t="str">
        <f>_xlfn.XLOOKUP(A6,[2]lex!$A$2:$A$195, [2]lex!$HU$2:$HU$195)</f>
        <v>80.58</v>
      </c>
      <c r="F6" s="17" t="str">
        <f>_xlfn.XLOOKUP(A6,[3]gdp_pcap!$A$2:$A$194,[3]gdp_pcap!$HT$2:$HT$194 )</f>
        <v>72660.14487</v>
      </c>
      <c r="G6" s="17" t="str">
        <f>_xlfn.XLOOKUP($A6,[4]ag_lnd_totl_k2!$A$2:$A$195, [4]ag_lnd_totl_k2!$BM$2:$BM$195)</f>
        <v>71020</v>
      </c>
      <c r="H6" s="17" t="str">
        <f>_xlfn.XLOOKUP($A6,[5]industrial_water_withdrawal_per!$A$2:$A$179,[5]industrial_water_withdrawal_per!$BH$2:$BH$179 )</f>
        <v>1.1416</v>
      </c>
      <c r="I6" s="17" t="str">
        <f>_xlfn.XLOOKUP($A6,[6]agricultural_water_withdrawal_p!$A$2:$A$180,[6]agricultural_water_withdrawal_p!$BH$2:$BH$180 )</f>
        <v>51.18</v>
      </c>
      <c r="J6" s="17" t="str">
        <f>_xlfn.XLOOKUP($A6,[7]total_water_withdrawal_billion_!$A$2:$A$180, [7]total_water_withdrawal_billion_!$BK$2:$BK$180  )</f>
        <v>4.8177</v>
      </c>
      <c r="K6" s="17" t="e">
        <f>_xlfn.XLOOKUP($A6,[8]hydro_power_generation_total!$A$2:$A$119,[8]hydro_power_generation_total!$BA$2:$BA$119 )</f>
        <v>#N/A</v>
      </c>
      <c r="L6" s="17" t="str">
        <f>_xlfn.XLOOKUP($A6,[9]ag_lnd_prcp_mm!$A$2:$A$182, [9]ag_lnd_prcp_mm!$BL$2:$BL$182)</f>
        <v>78</v>
      </c>
      <c r="M6" s="17" t="str">
        <f>_xlfn.XLOOKUP($A6,[10]co2_pcap_cons!$A$2:$A$193, [10]co2_pcap_cons!$HQ$2:$HQ$193)</f>
        <v>21.122</v>
      </c>
      <c r="N6" s="17">
        <f>_xlfn.XLOOKUP($A6,[11]primary_forest_area_ha!$A$2:$A$193, [11]primary_forest_area_ha!$AD$2:$AD$193)</f>
        <v>0</v>
      </c>
      <c r="O6" s="17" t="str">
        <f>_xlfn.XLOOKUP($A6,[12]en_mam_thrd_no!$A$2:$A$195,[12]en_mam_thrd_no!$G$2:$G$195)</f>
        <v>8</v>
      </c>
      <c r="P6" s="17" t="str">
        <f>_xlfn.XLOOKUP($A6,[13]en_fsh_thrd_no!$A$2:$A$195,[13]en_fsh_thrd_no!$G$2:$G$195)</f>
        <v>53</v>
      </c>
      <c r="Q6" s="17" t="str">
        <f>_xlfn.XLOOKUP($A6,[14]en_bir_thrd_no!$A$2:$A$195,[14]en_bir_thrd_no!$G$2:$G$195)</f>
        <v>13</v>
      </c>
      <c r="R6" s="17">
        <f>_xlfn.XLOOKUP($A6,[15]en_hpt_thrd_no!$A$2:$A$195,[15]en_hpt_thrd_no!$G$2:$G$195)</f>
        <v>0</v>
      </c>
      <c r="S6" s="17" t="str">
        <f>_xlfn.XLOOKUP($A6,[16]er_lnd_ptld_zs!$A$2:$A$194, [16]er_lnd_ptld_zs!$O$2:$O$194)</f>
        <v>19.2</v>
      </c>
      <c r="T6" s="17" t="str">
        <f>_xlfn.XLOOKUP($A6,[17]er_mrn_ptmr_zs!$A$2:$A$155,[17]er_mrn_ptmr_zs!$O$2:$O$155)</f>
        <v>12</v>
      </c>
    </row>
    <row r="7" spans="1:20" x14ac:dyDescent="0.2">
      <c r="A7" t="s">
        <v>17</v>
      </c>
      <c r="B7" t="s">
        <v>18</v>
      </c>
      <c r="C7" s="18" t="str">
        <f>_xlfn.XLOOKUP(A7,[1]Tabelle1!$A$2:$A$196,[1]Tabelle1!$C$2:$C$196)</f>
        <v>americas</v>
      </c>
      <c r="D7" t="s">
        <v>19</v>
      </c>
      <c r="E7" s="17" t="str">
        <f>_xlfn.XLOOKUP(A7,[2]lex!$A$2:$A$195, [2]lex!$HU$2:$HU$195)</f>
        <v>78</v>
      </c>
      <c r="F7" s="17" t="str">
        <f>_xlfn.XLOOKUP(A7,[3]gdp_pcap!$A$2:$A$194,[3]gdp_pcap!$HT$2:$HT$194 )</f>
        <v>28467.05855</v>
      </c>
      <c r="G7" s="17" t="str">
        <f>_xlfn.XLOOKUP($A7,[4]ag_lnd_totl_k2!$A$2:$A$195, [4]ag_lnd_totl_k2!$BM$2:$BM$195)</f>
        <v>2736690</v>
      </c>
      <c r="H7" s="17" t="str">
        <f>_xlfn.XLOOKUP($A7,[5]industrial_water_withdrawal_per!$A$2:$A$179,[5]industrial_water_withdrawal_per!$BH$2:$BH$179 )</f>
        <v>10.588</v>
      </c>
      <c r="I7" s="17" t="str">
        <f>_xlfn.XLOOKUP($A7,[6]agricultural_water_withdrawal_p!$A$2:$A$180,[6]agricultural_water_withdrawal_p!$BH$2:$BH$180 )</f>
        <v>73.928</v>
      </c>
      <c r="J7" s="17" t="str">
        <f>_xlfn.XLOOKUP($A7,[7]total_water_withdrawal_billion_!$A$2:$A$180, [7]total_water_withdrawal_billion_!$BK$2:$BK$180  )</f>
        <v>37.78</v>
      </c>
      <c r="K7" s="17" t="str">
        <f>_xlfn.XLOOKUP($A7,[8]hydro_power_generation_total!$A$2:$A$119,[8]hydro_power_generation_total!$BA$2:$BA$119 )</f>
        <v>2888000</v>
      </c>
      <c r="L7" s="17" t="str">
        <f>_xlfn.XLOOKUP($A7,[9]ag_lnd_prcp_mm!$A$2:$A$182, [9]ag_lnd_prcp_mm!$BL$2:$BL$182)</f>
        <v>591</v>
      </c>
      <c r="M7" s="17" t="str">
        <f>_xlfn.XLOOKUP($A7,[10]co2_pcap_cons!$A$2:$A$193, [10]co2_pcap_cons!$HQ$2:$HQ$193)</f>
        <v>3.847</v>
      </c>
      <c r="N7" s="17" t="str">
        <f>_xlfn.XLOOKUP($A7,[11]primary_forest_area_ha!$A$2:$A$193, [11]primary_forest_area_ha!$AD$2:$AD$193)</f>
        <v>1738000</v>
      </c>
      <c r="O7" s="17" t="str">
        <f>_xlfn.XLOOKUP($A7,[12]en_mam_thrd_no!$A$2:$A$195,[12]en_mam_thrd_no!$G$2:$G$195)</f>
        <v>39</v>
      </c>
      <c r="P7" s="17" t="str">
        <f>_xlfn.XLOOKUP($A7,[13]en_fsh_thrd_no!$A$2:$A$195,[13]en_fsh_thrd_no!$G$2:$G$195)</f>
        <v>83</v>
      </c>
      <c r="Q7" s="17" t="str">
        <f>_xlfn.XLOOKUP($A7,[14]en_bir_thrd_no!$A$2:$A$195,[14]en_bir_thrd_no!$G$2:$G$195)</f>
        <v>54</v>
      </c>
      <c r="R7" s="17" t="str">
        <f>_xlfn.XLOOKUP($A7,[15]en_hpt_thrd_no!$A$2:$A$195,[15]en_hpt_thrd_no!$G$2:$G$195)</f>
        <v>73</v>
      </c>
      <c r="S7" s="17" t="str">
        <f>_xlfn.XLOOKUP($A7,[16]er_lnd_ptld_zs!$A$2:$A$194, [16]er_lnd_ptld_zs!$O$2:$O$194)</f>
        <v>8.8</v>
      </c>
      <c r="T7" s="17" t="str">
        <f>_xlfn.XLOOKUP($A7,[17]er_mrn_ptmr_zs!$A$2:$A$155,[17]er_mrn_ptmr_zs!$O$2:$O$155)</f>
        <v>12</v>
      </c>
    </row>
    <row r="8" spans="1:20" x14ac:dyDescent="0.2">
      <c r="A8" t="s">
        <v>20</v>
      </c>
      <c r="B8" t="s">
        <v>21</v>
      </c>
      <c r="C8" s="18" t="str">
        <f>_xlfn.XLOOKUP(A8,[1]Tabelle1!$A$2:$A$196,[1]Tabelle1!$C$2:$C$196)</f>
        <v>europe</v>
      </c>
      <c r="D8" t="s">
        <v>22</v>
      </c>
      <c r="E8" s="17" t="str">
        <f>_xlfn.XLOOKUP(A8,[2]lex!$A$2:$A$195, [2]lex!$HU$2:$HU$195)</f>
        <v>80.13</v>
      </c>
      <c r="F8" s="17" t="str">
        <f>_xlfn.XLOOKUP(A8,[3]gdp_pcap!$A$2:$A$194,[3]gdp_pcap!$HT$2:$HT$194 )</f>
        <v>21539.01147</v>
      </c>
      <c r="G8" s="17" t="str">
        <f>_xlfn.XLOOKUP($A8,[4]ag_lnd_totl_k2!$A$2:$A$195, [4]ag_lnd_totl_k2!$BM$2:$BM$195)</f>
        <v>28199.44</v>
      </c>
      <c r="H8" s="17" t="str">
        <f>_xlfn.XLOOKUP($A8,[5]industrial_water_withdrawal_per!$A$2:$A$179,[5]industrial_water_withdrawal_per!$BH$2:$BH$179 )</f>
        <v>4.8828</v>
      </c>
      <c r="I8" s="17" t="str">
        <f>_xlfn.XLOOKUP($A8,[6]agricultural_water_withdrawal_p!$A$2:$A$180,[6]agricultural_water_withdrawal_p!$BH$2:$BH$180 )</f>
        <v>77.474</v>
      </c>
      <c r="J8" s="17" t="str">
        <f>_xlfn.XLOOKUP($A8,[7]total_water_withdrawal_billion_!$A$2:$A$180, [7]total_water_withdrawal_billion_!$BK$2:$BK$180  )</f>
        <v>3.072</v>
      </c>
      <c r="K8" s="17" t="str">
        <f>_xlfn.XLOOKUP($A8,[8]hydro_power_generation_total!$A$2:$A$119,[8]hydro_power_generation_total!$BA$2:$BA$119 )</f>
        <v>219800</v>
      </c>
      <c r="L8" s="17" t="str">
        <f>_xlfn.XLOOKUP($A8,[9]ag_lnd_prcp_mm!$A$2:$A$182, [9]ag_lnd_prcp_mm!$BL$2:$BL$182)</f>
        <v>562</v>
      </c>
      <c r="M8" s="17" t="str">
        <f>_xlfn.XLOOKUP($A8,[10]co2_pcap_cons!$A$2:$A$193, [10]co2_pcap_cons!$HQ$2:$HQ$193)</f>
        <v>2.7</v>
      </c>
      <c r="N8" s="17" t="str">
        <f>_xlfn.XLOOKUP($A8,[11]primary_forest_area_ha!$A$2:$A$193, [11]primary_forest_area_ha!$AD$2:$AD$193)</f>
        <v>17000</v>
      </c>
      <c r="O8" s="17" t="str">
        <f>_xlfn.XLOOKUP($A8,[12]en_mam_thrd_no!$A$2:$A$195,[12]en_mam_thrd_no!$G$2:$G$195)</f>
        <v>7</v>
      </c>
      <c r="P8" s="17" t="str">
        <f>_xlfn.XLOOKUP($A8,[13]en_fsh_thrd_no!$A$2:$A$195,[13]en_fsh_thrd_no!$G$2:$G$195)</f>
        <v>4</v>
      </c>
      <c r="Q8" s="17" t="str">
        <f>_xlfn.XLOOKUP($A8,[14]en_bir_thrd_no!$A$2:$A$195,[14]en_bir_thrd_no!$G$2:$G$195)</f>
        <v>15</v>
      </c>
      <c r="R8" s="17" t="str">
        <f>_xlfn.XLOOKUP($A8,[15]en_hpt_thrd_no!$A$2:$A$195,[15]en_hpt_thrd_no!$G$2:$G$195)</f>
        <v>76</v>
      </c>
      <c r="S8" s="17" t="str">
        <f>_xlfn.XLOOKUP($A8,[16]er_lnd_ptld_zs!$A$2:$A$194, [16]er_lnd_ptld_zs!$O$2:$O$194)</f>
        <v>38.9</v>
      </c>
      <c r="T8" s="17" t="e">
        <f>_xlfn.XLOOKUP($A8,[17]er_mrn_ptmr_zs!$A$2:$A$155,[17]er_mrn_ptmr_zs!$O$2:$O$155)</f>
        <v>#N/A</v>
      </c>
    </row>
    <row r="9" spans="1:20" x14ac:dyDescent="0.2">
      <c r="A9" t="s">
        <v>23</v>
      </c>
      <c r="B9" t="s">
        <v>24</v>
      </c>
      <c r="C9" s="18" t="str">
        <f>_xlfn.XLOOKUP(A9,[1]Tabelle1!$A$2:$A$196,[1]Tabelle1!$C$2:$C$196)</f>
        <v>americas</v>
      </c>
      <c r="D9" t="s">
        <v>25</v>
      </c>
      <c r="E9" s="17" t="str">
        <f>_xlfn.XLOOKUP(A9,[2]lex!$A$2:$A$195, [2]lex!$HU$2:$HU$195)</f>
        <v>78.3</v>
      </c>
      <c r="F9" s="17" t="str">
        <f>_xlfn.XLOOKUP(A9,[3]gdp_pcap!$A$2:$A$194,[3]gdp_pcap!$HT$2:$HT$194 )</f>
        <v>30870.84372</v>
      </c>
      <c r="G9" s="17" t="str">
        <f>_xlfn.XLOOKUP($A9,[4]ag_lnd_totl_k2!$A$2:$A$195, [4]ag_lnd_totl_k2!$BM$2:$BM$195)</f>
        <v>440</v>
      </c>
      <c r="H9" s="17" t="str">
        <f>_xlfn.XLOOKUP($A9,[5]industrial_water_withdrawal_per!$A$2:$A$179,[5]industrial_water_withdrawal_per!$BH$2:$BH$179 )</f>
        <v>21.739</v>
      </c>
      <c r="I9" s="17" t="str">
        <f>_xlfn.XLOOKUP($A9,[6]agricultural_water_withdrawal_p!$A$2:$A$180,[6]agricultural_water_withdrawal_p!$BH$2:$BH$180 )</f>
        <v>15.652</v>
      </c>
      <c r="J9" s="17" t="str">
        <f>_xlfn.XLOOKUP($A9,[7]total_water_withdrawal_billion_!$A$2:$A$180, [7]total_water_withdrawal_billion_!$BK$2:$BK$180  )</f>
        <v>0.0115</v>
      </c>
      <c r="K9" s="17" t="e">
        <f>_xlfn.XLOOKUP($A9,[8]hydro_power_generation_total!$A$2:$A$119,[8]hydro_power_generation_total!$BA$2:$BA$119 )</f>
        <v>#N/A</v>
      </c>
      <c r="L9" s="17" t="str">
        <f>_xlfn.XLOOKUP($A9,[9]ag_lnd_prcp_mm!$A$2:$A$182, [9]ag_lnd_prcp_mm!$BL$2:$BL$182)</f>
        <v>1030</v>
      </c>
      <c r="M9" s="17" t="str">
        <f>_xlfn.XLOOKUP($A9,[10]co2_pcap_cons!$A$2:$A$193, [10]co2_pcap_cons!$HQ$2:$HQ$193)</f>
        <v>5.939</v>
      </c>
      <c r="N9" s="17">
        <f>_xlfn.XLOOKUP($A9,[11]primary_forest_area_ha!$A$2:$A$193, [11]primary_forest_area_ha!$AD$2:$AD$193)</f>
        <v>0</v>
      </c>
      <c r="O9" s="17" t="str">
        <f>_xlfn.XLOOKUP($A9,[12]en_mam_thrd_no!$A$2:$A$195,[12]en_mam_thrd_no!$G$2:$G$195)</f>
        <v>2</v>
      </c>
      <c r="P9" s="17" t="str">
        <f>_xlfn.XLOOKUP($A9,[13]en_fsh_thrd_no!$A$2:$A$195,[13]en_fsh_thrd_no!$G$2:$G$195)</f>
        <v>49</v>
      </c>
      <c r="Q9" s="17" t="str">
        <f>_xlfn.XLOOKUP($A9,[14]en_bir_thrd_no!$A$2:$A$195,[14]en_bir_thrd_no!$G$2:$G$195)</f>
        <v>3</v>
      </c>
      <c r="R9" s="17" t="str">
        <f>_xlfn.XLOOKUP($A9,[15]en_hpt_thrd_no!$A$2:$A$195,[15]en_hpt_thrd_no!$G$2:$G$195)</f>
        <v>2</v>
      </c>
      <c r="S9" s="17" t="str">
        <f>_xlfn.XLOOKUP($A9,[16]er_lnd_ptld_zs!$A$2:$A$194, [16]er_lnd_ptld_zs!$O$2:$O$194)</f>
        <v>16.5</v>
      </c>
      <c r="T9" s="17" t="str">
        <f>_xlfn.XLOOKUP($A9,[17]er_mrn_ptmr_zs!$A$2:$A$155,[17]er_mrn_ptmr_zs!$O$2:$O$155)</f>
        <v>0.7</v>
      </c>
    </row>
    <row r="10" spans="1:20" x14ac:dyDescent="0.2">
      <c r="A10" t="s">
        <v>26</v>
      </c>
      <c r="B10" t="s">
        <v>27</v>
      </c>
      <c r="C10" s="18" t="str">
        <f>_xlfn.XLOOKUP(A10,[1]Tabelle1!$A$2:$A$196,[1]Tabelle1!$C$2:$C$196)</f>
        <v>asia</v>
      </c>
      <c r="D10" t="s">
        <v>28</v>
      </c>
      <c r="E10" s="17" t="str">
        <f>_xlfn.XLOOKUP(A10,[2]lex!$A$2:$A$195, [2]lex!$HU$2:$HU$195)</f>
        <v>84.3</v>
      </c>
      <c r="F10" s="17" t="str">
        <f>_xlfn.XLOOKUP(A10,[3]gdp_pcap!$A$2:$A$194,[3]gdp_pcap!$HT$2:$HT$194 )</f>
        <v>61942.61476</v>
      </c>
      <c r="G10" s="17" t="str">
        <f>_xlfn.XLOOKUP($A10,[4]ag_lnd_totl_k2!$A$2:$A$195, [4]ag_lnd_totl_k2!$BM$2:$BM$195)</f>
        <v>7692020</v>
      </c>
      <c r="H10" s="17" t="str">
        <f>_xlfn.XLOOKUP($A10,[5]industrial_water_withdrawal_per!$A$2:$A$179,[5]industrial_water_withdrawal_per!$BH$2:$BH$179 )</f>
        <v>18.589</v>
      </c>
      <c r="I10" s="17" t="str">
        <f>_xlfn.XLOOKUP($A10,[6]agricultural_water_withdrawal_p!$A$2:$A$180,[6]agricultural_water_withdrawal_p!$BH$2:$BH$180 )</f>
        <v>66.886</v>
      </c>
      <c r="J10" s="17" t="str">
        <f>_xlfn.XLOOKUP($A10,[7]total_water_withdrawal_billion_!$A$2:$A$180, [7]total_water_withdrawal_billion_!$BK$2:$BK$180  )</f>
        <v>16.73</v>
      </c>
      <c r="K10" s="17" t="str">
        <f>_xlfn.XLOOKUP($A10,[8]hydro_power_generation_total!$A$2:$A$119,[8]hydro_power_generation_total!$BA$2:$BA$119 )</f>
        <v>1072000</v>
      </c>
      <c r="L10" s="17" t="str">
        <f>_xlfn.XLOOKUP($A10,[9]ag_lnd_prcp_mm!$A$2:$A$182, [9]ag_lnd_prcp_mm!$BL$2:$BL$182)</f>
        <v>534</v>
      </c>
      <c r="M10" s="17" t="str">
        <f>_xlfn.XLOOKUP($A10,[10]co2_pcap_cons!$A$2:$A$193, [10]co2_pcap_cons!$HQ$2:$HQ$193)</f>
        <v>13.935</v>
      </c>
      <c r="N10" s="17" t="str">
        <f>_xlfn.XLOOKUP($A10,[11]primary_forest_area_ha!$A$2:$A$193, [11]primary_forest_area_ha!$AD$2:$AD$193)</f>
        <v>5039000</v>
      </c>
      <c r="O10" s="17" t="str">
        <f>_xlfn.XLOOKUP($A10,[12]en_mam_thrd_no!$A$2:$A$195,[12]en_mam_thrd_no!$G$2:$G$195)</f>
        <v>69</v>
      </c>
      <c r="P10" s="17" t="str">
        <f>_xlfn.XLOOKUP($A10,[13]en_fsh_thrd_no!$A$2:$A$195,[13]en_fsh_thrd_no!$G$2:$G$195)</f>
        <v>214</v>
      </c>
      <c r="Q10" s="17" t="str">
        <f>_xlfn.XLOOKUP($A10,[14]en_bir_thrd_no!$A$2:$A$195,[14]en_bir_thrd_no!$G$2:$G$195)</f>
        <v>66</v>
      </c>
      <c r="R10" s="17" t="str">
        <f>_xlfn.XLOOKUP($A10,[15]en_hpt_thrd_no!$A$2:$A$195,[15]en_hpt_thrd_no!$G$2:$G$195)</f>
        <v>766</v>
      </c>
      <c r="S10" s="17" t="str">
        <f>_xlfn.XLOOKUP($A10,[16]er_lnd_ptld_zs!$A$2:$A$194, [16]er_lnd_ptld_zs!$O$2:$O$194)</f>
        <v>22</v>
      </c>
      <c r="T10" s="17" t="str">
        <f>_xlfn.XLOOKUP($A10,[17]er_mrn_ptmr_zs!$A$2:$A$155,[17]er_mrn_ptmr_zs!$O$2:$O$155)</f>
        <v>45.4</v>
      </c>
    </row>
    <row r="11" spans="1:20" x14ac:dyDescent="0.2">
      <c r="A11" t="s">
        <v>29</v>
      </c>
      <c r="B11" t="s">
        <v>30</v>
      </c>
      <c r="C11" s="18" t="str">
        <f>_xlfn.XLOOKUP(A11,[1]Tabelle1!$A$2:$A$196,[1]Tabelle1!$C$2:$C$196)</f>
        <v>europe</v>
      </c>
      <c r="D11" t="s">
        <v>31</v>
      </c>
      <c r="E11" s="17" t="str">
        <f>_xlfn.XLOOKUP(A11,[2]lex!$A$2:$A$195, [2]lex!$HU$2:$HU$195)</f>
        <v>82.4</v>
      </c>
      <c r="F11" s="17" t="str">
        <f>_xlfn.XLOOKUP(A11,[3]gdp_pcap!$A$2:$A$194,[3]gdp_pcap!$HT$2:$HT$194 )</f>
        <v>64665.01876</v>
      </c>
      <c r="G11" s="17" t="str">
        <f>_xlfn.XLOOKUP($A11,[4]ag_lnd_totl_k2!$A$2:$A$195, [4]ag_lnd_totl_k2!$BM$2:$BM$195)</f>
        <v>82520</v>
      </c>
      <c r="H11" s="17" t="str">
        <f>_xlfn.XLOOKUP($A11,[5]industrial_water_withdrawal_per!$A$2:$A$179,[5]industrial_water_withdrawal_per!$BH$2:$BH$179 )</f>
        <v>93.314</v>
      </c>
      <c r="I11" s="17" t="str">
        <f>_xlfn.XLOOKUP($A11,[6]agricultural_water_withdrawal_p!$A$2:$A$180,[6]agricultural_water_withdrawal_p!$BH$2:$BH$180 )</f>
        <v>5.2357</v>
      </c>
      <c r="J11" s="17" t="str">
        <f>_xlfn.XLOOKUP($A11,[7]total_water_withdrawal_billion_!$A$2:$A$180, [7]total_water_withdrawal_billion_!$BK$2:$BK$180  )</f>
        <v>2.3684</v>
      </c>
      <c r="K11" s="17" t="str">
        <f>_xlfn.XLOOKUP($A11,[8]hydro_power_generation_total!$A$2:$A$119,[8]hydro_power_generation_total!$BA$2:$BA$119 )</f>
        <v>3302000</v>
      </c>
      <c r="L11" s="17" t="str">
        <f>_xlfn.XLOOKUP($A11,[9]ag_lnd_prcp_mm!$A$2:$A$182, [9]ag_lnd_prcp_mm!$BL$2:$BL$182)</f>
        <v>1110</v>
      </c>
      <c r="M11" s="17" t="str">
        <f>_xlfn.XLOOKUP($A11,[10]co2_pcap_cons!$A$2:$A$193, [10]co2_pcap_cons!$HQ$2:$HQ$193)</f>
        <v>9.2</v>
      </c>
      <c r="N11" s="17" t="str">
        <f>_xlfn.XLOOKUP($A11,[11]primary_forest_area_ha!$A$2:$A$193, [11]primary_forest_area_ha!$AD$2:$AD$193)</f>
        <v>114000</v>
      </c>
      <c r="O11" s="17" t="str">
        <f>_xlfn.XLOOKUP($A11,[12]en_mam_thrd_no!$A$2:$A$195,[12]en_mam_thrd_no!$G$2:$G$195)</f>
        <v>5</v>
      </c>
      <c r="P11" s="17" t="str">
        <f>_xlfn.XLOOKUP($A11,[13]en_fsh_thrd_no!$A$2:$A$195,[13]en_fsh_thrd_no!$G$2:$G$195)</f>
        <v>13</v>
      </c>
      <c r="Q11" s="17" t="str">
        <f>_xlfn.XLOOKUP($A11,[14]en_bir_thrd_no!$A$2:$A$195,[14]en_bir_thrd_no!$G$2:$G$195)</f>
        <v>13</v>
      </c>
      <c r="R11" s="17" t="str">
        <f>_xlfn.XLOOKUP($A11,[15]en_hpt_thrd_no!$A$2:$A$195,[15]en_hpt_thrd_no!$G$2:$G$195)</f>
        <v>38</v>
      </c>
      <c r="S11" s="17" t="str">
        <f>_xlfn.XLOOKUP($A11,[16]er_lnd_ptld_zs!$A$2:$A$194, [16]er_lnd_ptld_zs!$O$2:$O$194)</f>
        <v>29.6</v>
      </c>
      <c r="T11" s="17" t="e">
        <f>_xlfn.XLOOKUP($A11,[17]er_mrn_ptmr_zs!$A$2:$A$155,[17]er_mrn_ptmr_zs!$O$2:$O$155)</f>
        <v>#N/A</v>
      </c>
    </row>
    <row r="12" spans="1:20" x14ac:dyDescent="0.2">
      <c r="A12" t="s">
        <v>32</v>
      </c>
      <c r="B12" t="s">
        <v>33</v>
      </c>
      <c r="C12" s="18" t="str">
        <f>_xlfn.XLOOKUP(A12,[1]Tabelle1!$A$2:$A$196,[1]Tabelle1!$C$2:$C$196)</f>
        <v>europe</v>
      </c>
      <c r="D12" t="s">
        <v>34</v>
      </c>
      <c r="E12" s="17" t="str">
        <f>_xlfn.XLOOKUP(A12,[2]lex!$A$2:$A$195, [2]lex!$HU$2:$HU$195)</f>
        <v>73.09</v>
      </c>
      <c r="F12" s="17" t="str">
        <f>_xlfn.XLOOKUP(A12,[3]gdp_pcap!$A$2:$A$194,[3]gdp_pcap!$HT$2:$HT$194 )</f>
        <v>23177.53343</v>
      </c>
      <c r="G12" s="17" t="str">
        <f>_xlfn.XLOOKUP($A12,[4]ag_lnd_totl_k2!$A$2:$A$195, [4]ag_lnd_totl_k2!$BM$2:$BM$195)</f>
        <v>82650</v>
      </c>
      <c r="H12" s="17" t="str">
        <f>_xlfn.XLOOKUP($A12,[5]industrial_water_withdrawal_per!$A$2:$A$179,[5]industrial_water_withdrawal_per!$BH$2:$BH$179 )</f>
        <v>4.6114</v>
      </c>
      <c r="I12" s="17" t="str">
        <f>_xlfn.XLOOKUP($A12,[6]agricultural_water_withdrawal_p!$A$2:$A$180,[6]agricultural_water_withdrawal_p!$BH$2:$BH$180 )</f>
        <v>92.242</v>
      </c>
      <c r="J12" s="17" t="str">
        <f>_xlfn.XLOOKUP($A12,[7]total_water_withdrawal_billion_!$A$2:$A$180, [7]total_water_withdrawal_billion_!$BK$2:$BK$180  )</f>
        <v>12.968</v>
      </c>
      <c r="K12" s="17" t="str">
        <f>_xlfn.XLOOKUP($A12,[8]hydro_power_generation_total!$A$2:$A$119,[8]hydro_power_generation_total!$BA$2:$BA$119 )</f>
        <v>296300</v>
      </c>
      <c r="L12" s="17" t="str">
        <f>_xlfn.XLOOKUP($A12,[9]ag_lnd_prcp_mm!$A$2:$A$182, [9]ag_lnd_prcp_mm!$BL$2:$BL$182)</f>
        <v>447</v>
      </c>
      <c r="M12" s="17" t="str">
        <f>_xlfn.XLOOKUP($A12,[10]co2_pcap_cons!$A$2:$A$193, [10]co2_pcap_cons!$HQ$2:$HQ$193)</f>
        <v>3.842</v>
      </c>
      <c r="N12" s="17">
        <f>_xlfn.XLOOKUP($A12,[11]primary_forest_area_ha!$A$2:$A$193, [11]primary_forest_area_ha!$AD$2:$AD$193)</f>
        <v>0</v>
      </c>
      <c r="O12" s="17" t="str">
        <f>_xlfn.XLOOKUP($A12,[12]en_mam_thrd_no!$A$2:$A$195,[12]en_mam_thrd_no!$G$2:$G$195)</f>
        <v>7</v>
      </c>
      <c r="P12" s="17" t="str">
        <f>_xlfn.XLOOKUP($A12,[13]en_fsh_thrd_no!$A$2:$A$195,[13]en_fsh_thrd_no!$G$2:$G$195)</f>
        <v>14</v>
      </c>
      <c r="Q12" s="17" t="str">
        <f>_xlfn.XLOOKUP($A12,[14]en_bir_thrd_no!$A$2:$A$195,[14]en_bir_thrd_no!$G$2:$G$195)</f>
        <v>18</v>
      </c>
      <c r="R12" s="17" t="str">
        <f>_xlfn.XLOOKUP($A12,[15]en_hpt_thrd_no!$A$2:$A$195,[15]en_hpt_thrd_no!$G$2:$G$195)</f>
        <v>46</v>
      </c>
      <c r="S12" s="17" t="str">
        <f>_xlfn.XLOOKUP($A12,[16]er_lnd_ptld_zs!$A$2:$A$194, [16]er_lnd_ptld_zs!$O$2:$O$194)</f>
        <v>22.1</v>
      </c>
      <c r="T12" s="17" t="str">
        <f>_xlfn.XLOOKUP($A12,[17]er_mrn_ptmr_zs!$A$2:$A$155,[17]er_mrn_ptmr_zs!$O$2:$O$155)</f>
        <v>1</v>
      </c>
    </row>
    <row r="13" spans="1:20" x14ac:dyDescent="0.2">
      <c r="A13" t="s">
        <v>35</v>
      </c>
      <c r="B13" t="s">
        <v>36</v>
      </c>
      <c r="C13" s="18" t="str">
        <f>_xlfn.XLOOKUP(A13,[1]Tabelle1!$A$2:$A$196,[1]Tabelle1!$C$2:$C$196)</f>
        <v>africa</v>
      </c>
      <c r="D13" t="s">
        <v>37</v>
      </c>
      <c r="E13" s="17" t="str">
        <f>_xlfn.XLOOKUP(A13,[2]lex!$A$2:$A$195, [2]lex!$HU$2:$HU$195)</f>
        <v>62.19</v>
      </c>
      <c r="F13" s="17" t="str">
        <f>_xlfn.XLOOKUP(A13,[3]gdp_pcap!$A$2:$A$194,[3]gdp_pcap!$HT$2:$HT$194 )</f>
        <v>848.37448</v>
      </c>
      <c r="G13" s="17" t="str">
        <f>_xlfn.XLOOKUP($A13,[4]ag_lnd_totl_k2!$A$2:$A$195, [4]ag_lnd_totl_k2!$BM$2:$BM$195)</f>
        <v>25680</v>
      </c>
      <c r="H13" s="17" t="str">
        <f>_xlfn.XLOOKUP($A13,[5]industrial_water_withdrawal_per!$A$2:$A$179,[5]industrial_water_withdrawal_per!$BH$2:$BH$179 )</f>
        <v>5.3552</v>
      </c>
      <c r="I13" s="17" t="str">
        <f>_xlfn.XLOOKUP($A13,[6]agricultural_water_withdrawal_p!$A$2:$A$180,[6]agricultural_water_withdrawal_p!$BH$2:$BH$180 )</f>
        <v>79.257</v>
      </c>
      <c r="J13" s="17" t="str">
        <f>_xlfn.XLOOKUP($A13,[7]total_water_withdrawal_billion_!$A$2:$A$180, [7]total_water_withdrawal_billion_!$BK$2:$BK$180  )</f>
        <v>0.2801</v>
      </c>
      <c r="K13" s="17" t="e">
        <f>_xlfn.XLOOKUP($A13,[8]hydro_power_generation_total!$A$2:$A$119,[8]hydro_power_generation_total!$BA$2:$BA$119 )</f>
        <v>#N/A</v>
      </c>
      <c r="L13" s="17" t="str">
        <f>_xlfn.XLOOKUP($A13,[9]ag_lnd_prcp_mm!$A$2:$A$182, [9]ag_lnd_prcp_mm!$BL$2:$BL$182)</f>
        <v>1274</v>
      </c>
      <c r="M13" s="17" t="str">
        <f>_xlfn.XLOOKUP($A13,[10]co2_pcap_cons!$A$2:$A$193, [10]co2_pcap_cons!$HQ$2:$HQ$193)</f>
        <v>0.051</v>
      </c>
      <c r="N13" s="17" t="str">
        <f>_xlfn.XLOOKUP($A13,[11]primary_forest_area_ha!$A$2:$A$193, [11]primary_forest_area_ha!$AD$2:$AD$193)</f>
        <v>40000</v>
      </c>
      <c r="O13" s="17" t="str">
        <f>_xlfn.XLOOKUP($A13,[12]en_mam_thrd_no!$A$2:$A$195,[12]en_mam_thrd_no!$G$2:$G$195)</f>
        <v>16</v>
      </c>
      <c r="P13" s="17" t="str">
        <f>_xlfn.XLOOKUP($A13,[13]en_fsh_thrd_no!$A$2:$A$195,[13]en_fsh_thrd_no!$G$2:$G$195)</f>
        <v>17</v>
      </c>
      <c r="Q13" s="17" t="str">
        <f>_xlfn.XLOOKUP($A13,[14]en_bir_thrd_no!$A$2:$A$195,[14]en_bir_thrd_no!$G$2:$G$195)</f>
        <v>18</v>
      </c>
      <c r="R13" s="17" t="str">
        <f>_xlfn.XLOOKUP($A13,[15]en_hpt_thrd_no!$A$2:$A$195,[15]en_hpt_thrd_no!$G$2:$G$195)</f>
        <v>159</v>
      </c>
      <c r="S13" s="17" t="str">
        <f>_xlfn.XLOOKUP($A13,[16]er_lnd_ptld_zs!$A$2:$A$194, [16]er_lnd_ptld_zs!$O$2:$O$194)</f>
        <v>7.6</v>
      </c>
      <c r="T13" s="17" t="e">
        <f>_xlfn.XLOOKUP($A13,[17]er_mrn_ptmr_zs!$A$2:$A$155,[17]er_mrn_ptmr_zs!$O$2:$O$155)</f>
        <v>#N/A</v>
      </c>
    </row>
    <row r="14" spans="1:20" x14ac:dyDescent="0.2">
      <c r="A14" t="s">
        <v>38</v>
      </c>
      <c r="B14" t="s">
        <v>39</v>
      </c>
      <c r="C14" s="18" t="str">
        <f>_xlfn.XLOOKUP(A14,[1]Tabelle1!$A$2:$A$196,[1]Tabelle1!$C$2:$C$196)</f>
        <v>europe</v>
      </c>
      <c r="D14" t="s">
        <v>40</v>
      </c>
      <c r="E14" s="17" t="str">
        <f>_xlfn.XLOOKUP(A14,[2]lex!$A$2:$A$195, [2]lex!$HU$2:$HU$195)</f>
        <v>82.6</v>
      </c>
      <c r="F14" s="17" t="str">
        <f>_xlfn.XLOOKUP(A14,[3]gdp_pcap!$A$2:$A$194,[3]gdp_pcap!$HT$2:$HT$194 )</f>
        <v>65096.12262</v>
      </c>
      <c r="G14" s="17" t="str">
        <f>_xlfn.XLOOKUP($A14,[4]ag_lnd_totl_k2!$A$2:$A$195, [4]ag_lnd_totl_k2!$BM$2:$BM$195)</f>
        <v>30494</v>
      </c>
      <c r="H14" s="17" t="str">
        <f>_xlfn.XLOOKUP($A14,[5]industrial_water_withdrawal_per!$A$2:$A$179,[5]industrial_water_withdrawal_per!$BH$2:$BH$179 )</f>
        <v>84.109</v>
      </c>
      <c r="I14" s="17" t="str">
        <f>_xlfn.XLOOKUP($A14,[6]agricultural_water_withdrawal_p!$A$2:$A$180,[6]agricultural_water_withdrawal_p!$BH$2:$BH$180 )</f>
        <v>0.85268</v>
      </c>
      <c r="J14" s="17" t="str">
        <f>_xlfn.XLOOKUP($A14,[7]total_water_withdrawal_billion_!$A$2:$A$180, [7]total_water_withdrawal_billion_!$BK$2:$BK$180  )</f>
        <v>4.9221</v>
      </c>
      <c r="K14" s="17" t="str">
        <f>_xlfn.XLOOKUP($A14,[8]hydro_power_generation_total!$A$2:$A$119,[8]hydro_power_generation_total!$BA$2:$BA$119 )</f>
        <v>26830</v>
      </c>
      <c r="L14" s="17" t="str">
        <f>_xlfn.XLOOKUP($A14,[9]ag_lnd_prcp_mm!$A$2:$A$182, [9]ag_lnd_prcp_mm!$BL$2:$BL$182)</f>
        <v>847</v>
      </c>
      <c r="M14" s="17" t="str">
        <f>_xlfn.XLOOKUP($A14,[10]co2_pcap_cons!$A$2:$A$193, [10]co2_pcap_cons!$HQ$2:$HQ$193)</f>
        <v>16.928</v>
      </c>
      <c r="N14" s="17">
        <f>_xlfn.XLOOKUP($A14,[11]primary_forest_area_ha!$A$2:$A$193, [11]primary_forest_area_ha!$AD$2:$AD$193)</f>
        <v>0</v>
      </c>
      <c r="O14" s="17" t="str">
        <f>_xlfn.XLOOKUP($A14,[12]en_mam_thrd_no!$A$2:$A$195,[12]en_mam_thrd_no!$G$2:$G$195)</f>
        <v>3</v>
      </c>
      <c r="P14" s="17" t="str">
        <f>_xlfn.XLOOKUP($A14,[13]en_fsh_thrd_no!$A$2:$A$195,[13]en_fsh_thrd_no!$G$2:$G$195)</f>
        <v>19</v>
      </c>
      <c r="Q14" s="17" t="str">
        <f>_xlfn.XLOOKUP($A14,[14]en_bir_thrd_no!$A$2:$A$195,[14]en_bir_thrd_no!$G$2:$G$195)</f>
        <v>8</v>
      </c>
      <c r="R14" s="17" t="str">
        <f>_xlfn.XLOOKUP($A14,[15]en_hpt_thrd_no!$A$2:$A$195,[15]en_hpt_thrd_no!$G$2:$G$195)</f>
        <v>3</v>
      </c>
      <c r="S14" s="17" t="str">
        <f>_xlfn.XLOOKUP($A14,[16]er_lnd_ptld_zs!$A$2:$A$194, [16]er_lnd_ptld_zs!$O$2:$O$194)</f>
        <v>16.4</v>
      </c>
      <c r="T14" s="17" t="str">
        <f>_xlfn.XLOOKUP($A14,[17]er_mrn_ptmr_zs!$A$2:$A$155,[17]er_mrn_ptmr_zs!$O$2:$O$155)</f>
        <v>38.3</v>
      </c>
    </row>
    <row r="15" spans="1:20" x14ac:dyDescent="0.2">
      <c r="A15" t="s">
        <v>41</v>
      </c>
      <c r="B15" t="s">
        <v>42</v>
      </c>
      <c r="C15" s="18" t="str">
        <f>_xlfn.XLOOKUP(A15,[1]Tabelle1!$A$2:$A$196,[1]Tabelle1!$C$2:$C$196)</f>
        <v>africa</v>
      </c>
      <c r="D15" t="s">
        <v>43</v>
      </c>
      <c r="E15" s="17" t="str">
        <f>_xlfn.XLOOKUP(A15,[2]lex!$A$2:$A$195, [2]lex!$HU$2:$HU$195)</f>
        <v>66.74</v>
      </c>
      <c r="F15" s="17" t="str">
        <f>_xlfn.XLOOKUP(A15,[3]gdp_pcap!$A$2:$A$194,[3]gdp_pcap!$HT$2:$HT$194 )</f>
        <v>4143.14163</v>
      </c>
      <c r="G15" s="17" t="str">
        <f>_xlfn.XLOOKUP($A15,[4]ag_lnd_totl_k2!$A$2:$A$195, [4]ag_lnd_totl_k2!$BM$2:$BM$195)</f>
        <v>112760</v>
      </c>
      <c r="H15" s="17" t="str">
        <f>_xlfn.XLOOKUP($A15,[5]industrial_water_withdrawal_per!$A$2:$A$179,[5]industrial_water_withdrawal_per!$BH$2:$BH$179 )</f>
        <v>12.821</v>
      </c>
      <c r="I15" s="17" t="str">
        <f>_xlfn.XLOOKUP($A15,[6]agricultural_water_withdrawal_p!$A$2:$A$180,[6]agricultural_water_withdrawal_p!$BH$2:$BH$180 )</f>
        <v>25.214</v>
      </c>
      <c r="J15" s="17" t="str">
        <f>_xlfn.XLOOKUP($A15,[7]total_water_withdrawal_billion_!$A$2:$A$180, [7]total_water_withdrawal_billion_!$BK$2:$BK$180  )</f>
        <v>0.234</v>
      </c>
      <c r="K15" s="17">
        <f>_xlfn.XLOOKUP($A15,[8]hydro_power_generation_total!$A$2:$A$119,[8]hydro_power_generation_total!$BA$2:$BA$119 )</f>
        <v>0</v>
      </c>
      <c r="L15" s="17" t="str">
        <f>_xlfn.XLOOKUP($A15,[9]ag_lnd_prcp_mm!$A$2:$A$182, [9]ag_lnd_prcp_mm!$BL$2:$BL$182)</f>
        <v>1039</v>
      </c>
      <c r="M15" s="17" t="str">
        <f>_xlfn.XLOOKUP($A15,[10]co2_pcap_cons!$A$2:$A$193, [10]co2_pcap_cons!$HQ$2:$HQ$193)</f>
        <v>0.71</v>
      </c>
      <c r="N15" s="17">
        <f>_xlfn.XLOOKUP($A15,[11]primary_forest_area_ha!$A$2:$A$193, [11]primary_forest_area_ha!$AD$2:$AD$193)</f>
        <v>0</v>
      </c>
      <c r="O15" s="17" t="str">
        <f>_xlfn.XLOOKUP($A15,[12]en_mam_thrd_no!$A$2:$A$195,[12]en_mam_thrd_no!$G$2:$G$195)</f>
        <v>16</v>
      </c>
      <c r="P15" s="17" t="str">
        <f>_xlfn.XLOOKUP($A15,[13]en_fsh_thrd_no!$A$2:$A$195,[13]en_fsh_thrd_no!$G$2:$G$195)</f>
        <v>73</v>
      </c>
      <c r="Q15" s="17" t="str">
        <f>_xlfn.XLOOKUP($A15,[14]en_bir_thrd_no!$A$2:$A$195,[14]en_bir_thrd_no!$G$2:$G$195)</f>
        <v>14</v>
      </c>
      <c r="R15" s="17" t="str">
        <f>_xlfn.XLOOKUP($A15,[15]en_hpt_thrd_no!$A$2:$A$195,[15]en_hpt_thrd_no!$G$2:$G$195)</f>
        <v>17</v>
      </c>
      <c r="S15" s="17" t="str">
        <f>_xlfn.XLOOKUP($A15,[16]er_lnd_ptld_zs!$A$2:$A$194, [16]er_lnd_ptld_zs!$O$2:$O$194)</f>
        <v>36.1</v>
      </c>
      <c r="T15" s="17" t="str">
        <f>_xlfn.XLOOKUP($A15,[17]er_mrn_ptmr_zs!$A$2:$A$155,[17]er_mrn_ptmr_zs!$O$2:$O$155)</f>
        <v>0.8</v>
      </c>
    </row>
    <row r="16" spans="1:20" x14ac:dyDescent="0.2">
      <c r="A16" t="s">
        <v>44</v>
      </c>
      <c r="B16" t="s">
        <v>45</v>
      </c>
      <c r="C16" s="18" t="str">
        <f>_xlfn.XLOOKUP(A16,[1]Tabelle1!$A$2:$A$196,[1]Tabelle1!$C$2:$C$196)</f>
        <v>africa</v>
      </c>
      <c r="D16" t="s">
        <v>46</v>
      </c>
      <c r="E16" s="17" t="str">
        <f>_xlfn.XLOOKUP(A16,[2]lex!$A$2:$A$195, [2]lex!$HU$2:$HU$195)</f>
        <v>68.25</v>
      </c>
      <c r="F16" s="17" t="str">
        <f>_xlfn.XLOOKUP(A16,[3]gdp_pcap!$A$2:$A$194,[3]gdp_pcap!$HT$2:$HT$194 )</f>
        <v>2661.1876</v>
      </c>
      <c r="G16" s="17" t="str">
        <f>_xlfn.XLOOKUP($A16,[4]ag_lnd_totl_k2!$A$2:$A$195, [4]ag_lnd_totl_k2!$BM$2:$BM$195)</f>
        <v>273600</v>
      </c>
      <c r="H16" s="17" t="str">
        <f>_xlfn.XLOOKUP($A16,[5]industrial_water_withdrawal_per!$A$2:$A$179,[5]industrial_water_withdrawal_per!$BH$2:$BH$179 )</f>
        <v>2.6528</v>
      </c>
      <c r="I16" s="17" t="str">
        <f>_xlfn.XLOOKUP($A16,[6]agricultural_water_withdrawal_p!$A$2:$A$180,[6]agricultural_water_withdrawal_p!$BH$2:$BH$180 )</f>
        <v>51.43</v>
      </c>
      <c r="J16" s="17" t="str">
        <f>_xlfn.XLOOKUP($A16,[7]total_water_withdrawal_billion_!$A$2:$A$180, [7]total_water_withdrawal_billion_!$BK$2:$BK$180  )</f>
        <v>0.818</v>
      </c>
      <c r="K16" s="17" t="e">
        <f>_xlfn.XLOOKUP($A16,[8]hydro_power_generation_total!$A$2:$A$119,[8]hydro_power_generation_total!$BA$2:$BA$119 )</f>
        <v>#N/A</v>
      </c>
      <c r="L16" s="17" t="str">
        <f>_xlfn.XLOOKUP($A16,[9]ag_lnd_prcp_mm!$A$2:$A$182, [9]ag_lnd_prcp_mm!$BL$2:$BL$182)</f>
        <v>748</v>
      </c>
      <c r="M16" s="17" t="str">
        <f>_xlfn.XLOOKUP($A16,[10]co2_pcap_cons!$A$2:$A$193, [10]co2_pcap_cons!$HQ$2:$HQ$193)</f>
        <v>0.306</v>
      </c>
      <c r="N16" s="17">
        <f>_xlfn.XLOOKUP($A16,[11]primary_forest_area_ha!$A$2:$A$193, [11]primary_forest_area_ha!$AD$2:$AD$193)</f>
        <v>0</v>
      </c>
      <c r="O16" s="17" t="str">
        <f>_xlfn.XLOOKUP($A16,[12]en_mam_thrd_no!$A$2:$A$195,[12]en_mam_thrd_no!$G$2:$G$195)</f>
        <v>12</v>
      </c>
      <c r="P16" s="17" t="str">
        <f>_xlfn.XLOOKUP($A16,[13]en_fsh_thrd_no!$A$2:$A$195,[13]en_fsh_thrd_no!$G$2:$G$195)</f>
        <v>3</v>
      </c>
      <c r="Q16" s="17" t="str">
        <f>_xlfn.XLOOKUP($A16,[14]en_bir_thrd_no!$A$2:$A$195,[14]en_bir_thrd_no!$G$2:$G$195)</f>
        <v>15</v>
      </c>
      <c r="R16" s="17" t="str">
        <f>_xlfn.XLOOKUP($A16,[15]en_hpt_thrd_no!$A$2:$A$195,[15]en_hpt_thrd_no!$G$2:$G$195)</f>
        <v>6</v>
      </c>
      <c r="S16" s="17" t="str">
        <f>_xlfn.XLOOKUP($A16,[16]er_lnd_ptld_zs!$A$2:$A$194, [16]er_lnd_ptld_zs!$O$2:$O$194)</f>
        <v>16.8</v>
      </c>
      <c r="T16" s="17" t="e">
        <f>_xlfn.XLOOKUP($A16,[17]er_mrn_ptmr_zs!$A$2:$A$155,[17]er_mrn_ptmr_zs!$O$2:$O$155)</f>
        <v>#N/A</v>
      </c>
    </row>
    <row r="17" spans="1:20" x14ac:dyDescent="0.2">
      <c r="A17" t="s">
        <v>47</v>
      </c>
      <c r="B17" t="s">
        <v>48</v>
      </c>
      <c r="C17" s="18" t="str">
        <f>_xlfn.XLOOKUP(A17,[1]Tabelle1!$A$2:$A$196,[1]Tabelle1!$C$2:$C$196)</f>
        <v>asia</v>
      </c>
      <c r="D17" t="s">
        <v>49</v>
      </c>
      <c r="E17" s="17" t="str">
        <f>_xlfn.XLOOKUP(A17,[2]lex!$A$2:$A$195, [2]lex!$HU$2:$HU$195)</f>
        <v>71.86</v>
      </c>
      <c r="F17" s="17" t="str">
        <f>_xlfn.XLOOKUP(A17,[3]gdp_pcap!$A$2:$A$194,[3]gdp_pcap!$HT$2:$HT$194 )</f>
        <v>8950.44644</v>
      </c>
      <c r="G17" s="17" t="str">
        <f>_xlfn.XLOOKUP($A17,[4]ag_lnd_totl_k2!$A$2:$A$195, [4]ag_lnd_totl_k2!$BM$2:$BM$195)</f>
        <v>129980</v>
      </c>
      <c r="H17" s="17" t="str">
        <f>_xlfn.XLOOKUP($A17,[5]industrial_water_withdrawal_per!$A$2:$A$179,[5]industrial_water_withdrawal_per!$BH$2:$BH$179 )</f>
        <v>2.1466</v>
      </c>
      <c r="I17" s="17" t="str">
        <f>_xlfn.XLOOKUP($A17,[6]agricultural_water_withdrawal_p!$A$2:$A$180,[6]agricultural_water_withdrawal_p!$BH$2:$BH$180 )</f>
        <v>87.817</v>
      </c>
      <c r="J17" s="17" t="str">
        <f>_xlfn.XLOOKUP($A17,[7]total_water_withdrawal_billion_!$A$2:$A$180, [7]total_water_withdrawal_billion_!$BK$2:$BK$180  )</f>
        <v>35.87</v>
      </c>
      <c r="K17" s="17" t="str">
        <f>_xlfn.XLOOKUP($A17,[8]hydro_power_generation_total!$A$2:$A$119,[8]hydro_power_generation_total!$BA$2:$BA$119 )</f>
        <v>142900</v>
      </c>
      <c r="L17" s="17" t="str">
        <f>_xlfn.XLOOKUP($A17,[9]ag_lnd_prcp_mm!$A$2:$A$182, [9]ag_lnd_prcp_mm!$BL$2:$BL$182)</f>
        <v>2666</v>
      </c>
      <c r="M17" s="17" t="str">
        <f>_xlfn.XLOOKUP($A17,[10]co2_pcap_cons!$A$2:$A$193, [10]co2_pcap_cons!$HQ$2:$HQ$193)</f>
        <v>0.844</v>
      </c>
      <c r="N17" s="17" t="str">
        <f>_xlfn.XLOOKUP($A17,[11]primary_forest_area_ha!$A$2:$A$193, [11]primary_forest_area_ha!$AD$2:$AD$193)</f>
        <v>411000</v>
      </c>
      <c r="O17" s="17" t="str">
        <f>_xlfn.XLOOKUP($A17,[12]en_mam_thrd_no!$A$2:$A$195,[12]en_mam_thrd_no!$G$2:$G$195)</f>
        <v>39</v>
      </c>
      <c r="P17" s="17" t="str">
        <f>_xlfn.XLOOKUP($A17,[13]en_fsh_thrd_no!$A$2:$A$195,[13]en_fsh_thrd_no!$G$2:$G$195)</f>
        <v>75</v>
      </c>
      <c r="Q17" s="17" t="str">
        <f>_xlfn.XLOOKUP($A17,[14]en_bir_thrd_no!$A$2:$A$195,[14]en_bir_thrd_no!$G$2:$G$195)</f>
        <v>36</v>
      </c>
      <c r="R17" s="17" t="str">
        <f>_xlfn.XLOOKUP($A17,[15]en_hpt_thrd_no!$A$2:$A$195,[15]en_hpt_thrd_no!$G$2:$G$195)</f>
        <v>35</v>
      </c>
      <c r="S17" s="17" t="str">
        <f>_xlfn.XLOOKUP($A17,[16]er_lnd_ptld_zs!$A$2:$A$194, [16]er_lnd_ptld_zs!$O$2:$O$194)</f>
        <v>4.2</v>
      </c>
      <c r="T17" s="17" t="str">
        <f>_xlfn.XLOOKUP($A17,[17]er_mrn_ptmr_zs!$A$2:$A$155,[17]er_mrn_ptmr_zs!$O$2:$O$155)</f>
        <v>8.6</v>
      </c>
    </row>
    <row r="18" spans="1:20" x14ac:dyDescent="0.2">
      <c r="A18" t="s">
        <v>50</v>
      </c>
      <c r="B18" t="s">
        <v>51</v>
      </c>
      <c r="C18" s="18" t="str">
        <f>_xlfn.XLOOKUP(A18,[1]Tabelle1!$A$2:$A$196,[1]Tabelle1!$C$2:$C$196)</f>
        <v>europe</v>
      </c>
      <c r="D18" t="s">
        <v>52</v>
      </c>
      <c r="E18" s="17" t="str">
        <f>_xlfn.XLOOKUP(A18,[2]lex!$A$2:$A$195, [2]lex!$HU$2:$HU$195)</f>
        <v>76.4</v>
      </c>
      <c r="F18" s="17" t="str">
        <f>_xlfn.XLOOKUP(A18,[3]gdp_pcap!$A$2:$A$194,[3]gdp_pcap!$HT$2:$HT$194 )</f>
        <v>36210.72816</v>
      </c>
      <c r="G18" s="17" t="str">
        <f>_xlfn.XLOOKUP($A18,[4]ag_lnd_totl_k2!$A$2:$A$195, [4]ag_lnd_totl_k2!$BM$2:$BM$195)</f>
        <v>108560</v>
      </c>
      <c r="H18" s="17" t="str">
        <f>_xlfn.XLOOKUP($A18,[5]industrial_water_withdrawal_per!$A$2:$A$179,[5]industrial_water_withdrawal_per!$BH$2:$BH$179 )</f>
        <v>71.26</v>
      </c>
      <c r="I18" s="17" t="str">
        <f>_xlfn.XLOOKUP($A18,[6]agricultural_water_withdrawal_p!$A$2:$A$180,[6]agricultural_water_withdrawal_p!$BH$2:$BH$180 )</f>
        <v>13.345</v>
      </c>
      <c r="J18" s="17" t="str">
        <f>_xlfn.XLOOKUP($A18,[7]total_water_withdrawal_billion_!$A$2:$A$180, [7]total_water_withdrawal_billion_!$BK$2:$BK$180  )</f>
        <v>5.4434</v>
      </c>
      <c r="K18" s="17" t="str">
        <f>_xlfn.XLOOKUP($A18,[8]hydro_power_generation_total!$A$2:$A$119,[8]hydro_power_generation_total!$BA$2:$BA$119 )</f>
        <v>434800</v>
      </c>
      <c r="L18" s="17" t="str">
        <f>_xlfn.XLOOKUP($A18,[9]ag_lnd_prcp_mm!$A$2:$A$182, [9]ag_lnd_prcp_mm!$BL$2:$BL$182)</f>
        <v>608</v>
      </c>
      <c r="M18" s="17" t="str">
        <f>_xlfn.XLOOKUP($A18,[10]co2_pcap_cons!$A$2:$A$193, [10]co2_pcap_cons!$HQ$2:$HQ$193)</f>
        <v>5.823</v>
      </c>
      <c r="N18" s="17" t="str">
        <f>_xlfn.XLOOKUP($A18,[11]primary_forest_area_ha!$A$2:$A$193, [11]primary_forest_area_ha!$AD$2:$AD$193)</f>
        <v>597000</v>
      </c>
      <c r="O18" s="17" t="str">
        <f>_xlfn.XLOOKUP($A18,[12]en_mam_thrd_no!$A$2:$A$195,[12]en_mam_thrd_no!$G$2:$G$195)</f>
        <v>10</v>
      </c>
      <c r="P18" s="17" t="str">
        <f>_xlfn.XLOOKUP($A18,[13]en_fsh_thrd_no!$A$2:$A$195,[13]en_fsh_thrd_no!$G$2:$G$195)</f>
        <v>21</v>
      </c>
      <c r="Q18" s="17" t="str">
        <f>_xlfn.XLOOKUP($A18,[14]en_bir_thrd_no!$A$2:$A$195,[14]en_bir_thrd_no!$G$2:$G$195)</f>
        <v>18</v>
      </c>
      <c r="R18" s="17" t="str">
        <f>_xlfn.XLOOKUP($A18,[15]en_hpt_thrd_no!$A$2:$A$195,[15]en_hpt_thrd_no!$G$2:$G$195)</f>
        <v>13</v>
      </c>
      <c r="S18" s="17" t="str">
        <f>_xlfn.XLOOKUP($A18,[16]er_lnd_ptld_zs!$A$2:$A$194, [16]er_lnd_ptld_zs!$O$2:$O$194)</f>
        <v>44.3</v>
      </c>
      <c r="T18" s="17" t="str">
        <f>_xlfn.XLOOKUP($A18,[17]er_mrn_ptmr_zs!$A$2:$A$155,[17]er_mrn_ptmr_zs!$O$2:$O$155)</f>
        <v>8.2</v>
      </c>
    </row>
    <row r="19" spans="1:20" x14ac:dyDescent="0.2">
      <c r="A19" t="s">
        <v>53</v>
      </c>
      <c r="B19" t="s">
        <v>54</v>
      </c>
      <c r="C19" s="18" t="str">
        <f>_xlfn.XLOOKUP(A19,[1]Tabelle1!$A$2:$A$196,[1]Tabelle1!$C$2:$C$196)</f>
        <v>asia</v>
      </c>
      <c r="D19" t="s">
        <v>55</v>
      </c>
      <c r="E19" s="17" t="str">
        <f>_xlfn.XLOOKUP(A19,[2]lex!$A$2:$A$195, [2]lex!$HU$2:$HU$195)</f>
        <v>77.58</v>
      </c>
      <c r="F19" s="17" t="str">
        <f>_xlfn.XLOOKUP(A19,[3]gdp_pcap!$A$2:$A$194,[3]gdp_pcap!$HT$2:$HT$194 )</f>
        <v>60839.23381</v>
      </c>
      <c r="G19" s="17" t="str">
        <f>_xlfn.XLOOKUP($A19,[4]ag_lnd_totl_k2!$A$2:$A$195, [4]ag_lnd_totl_k2!$BM$2:$BM$195)</f>
        <v>800</v>
      </c>
      <c r="H19" s="17" t="str">
        <f>_xlfn.XLOOKUP($A19,[5]industrial_water_withdrawal_per!$A$2:$A$179,[5]industrial_water_withdrawal_per!$BH$2:$BH$179 )</f>
        <v>3.2459</v>
      </c>
      <c r="I19" s="17" t="str">
        <f>_xlfn.XLOOKUP($A19,[6]agricultural_water_withdrawal_p!$A$2:$A$180,[6]agricultural_water_withdrawal_p!$BH$2:$BH$180 )</f>
        <v>33.31</v>
      </c>
      <c r="J19" s="17" t="str">
        <f>_xlfn.XLOOKUP($A19,[7]total_water_withdrawal_billion_!$A$2:$A$180, [7]total_water_withdrawal_billion_!$BK$2:$BK$180  )</f>
        <v>0.4344</v>
      </c>
      <c r="K19" s="17" t="e">
        <f>_xlfn.XLOOKUP($A19,[8]hydro_power_generation_total!$A$2:$A$119,[8]hydro_power_generation_total!$BA$2:$BA$119 )</f>
        <v>#N/A</v>
      </c>
      <c r="L19" s="17" t="str">
        <f>_xlfn.XLOOKUP($A19,[9]ag_lnd_prcp_mm!$A$2:$A$182, [9]ag_lnd_prcp_mm!$BL$2:$BL$182)</f>
        <v>83</v>
      </c>
      <c r="M19" s="17" t="str">
        <f>_xlfn.XLOOKUP($A19,[10]co2_pcap_cons!$A$2:$A$193, [10]co2_pcap_cons!$HQ$2:$HQ$193)</f>
        <v>16.037</v>
      </c>
      <c r="N19" s="17">
        <f>_xlfn.XLOOKUP($A19,[11]primary_forest_area_ha!$A$2:$A$193, [11]primary_forest_area_ha!$AD$2:$AD$193)</f>
        <v>0</v>
      </c>
      <c r="O19" s="17" t="str">
        <f>_xlfn.XLOOKUP($A19,[12]en_mam_thrd_no!$A$2:$A$195,[12]en_mam_thrd_no!$G$2:$G$195)</f>
        <v>3</v>
      </c>
      <c r="P19" s="17" t="str">
        <f>_xlfn.XLOOKUP($A19,[13]en_fsh_thrd_no!$A$2:$A$195,[13]en_fsh_thrd_no!$G$2:$G$195)</f>
        <v>36</v>
      </c>
      <c r="Q19" s="17" t="str">
        <f>_xlfn.XLOOKUP($A19,[14]en_bir_thrd_no!$A$2:$A$195,[14]en_bir_thrd_no!$G$2:$G$195)</f>
        <v>8</v>
      </c>
      <c r="R19" s="17">
        <f>_xlfn.XLOOKUP($A19,[15]en_hpt_thrd_no!$A$2:$A$195,[15]en_hpt_thrd_no!$G$2:$G$195)</f>
        <v>0</v>
      </c>
      <c r="S19" s="17" t="str">
        <f>_xlfn.XLOOKUP($A19,[16]er_lnd_ptld_zs!$A$2:$A$194, [16]er_lnd_ptld_zs!$O$2:$O$194)</f>
        <v>11.7</v>
      </c>
      <c r="T19" s="17" t="str">
        <f>_xlfn.XLOOKUP($A19,[17]er_mrn_ptmr_zs!$A$2:$A$155,[17]er_mrn_ptmr_zs!$O$2:$O$155)</f>
        <v>21.4</v>
      </c>
    </row>
    <row r="20" spans="1:20" x14ac:dyDescent="0.2">
      <c r="A20" t="s">
        <v>56</v>
      </c>
      <c r="B20" t="s">
        <v>57</v>
      </c>
      <c r="C20" s="18" t="str">
        <f>_xlfn.XLOOKUP(A20,[1]Tabelle1!$A$2:$A$196,[1]Tabelle1!$C$2:$C$196)</f>
        <v>americas</v>
      </c>
      <c r="D20" t="s">
        <v>58</v>
      </c>
      <c r="E20" s="17" t="str">
        <f>_xlfn.XLOOKUP(A20,[2]lex!$A$2:$A$195, [2]lex!$HU$2:$HU$195)</f>
        <v>73.19</v>
      </c>
      <c r="F20" s="17" t="str">
        <f>_xlfn.XLOOKUP(A20,[3]gdp_pcap!$A$2:$A$194,[3]gdp_pcap!$HT$2:$HT$194 )</f>
        <v>37464.41295</v>
      </c>
      <c r="G20" s="17" t="str">
        <f>_xlfn.XLOOKUP($A20,[4]ag_lnd_totl_k2!$A$2:$A$195, [4]ag_lnd_totl_k2!$BM$2:$BM$195)</f>
        <v>10010</v>
      </c>
      <c r="H20" s="17" t="e">
        <f>_xlfn.XLOOKUP($A20,[5]industrial_water_withdrawal_per!$A$2:$A$179,[5]industrial_water_withdrawal_per!$BH$2:$BH$179 )</f>
        <v>#N/A</v>
      </c>
      <c r="I20" s="17" t="e">
        <f>_xlfn.XLOOKUP($A20,[6]agricultural_water_withdrawal_p!$A$2:$A$180,[6]agricultural_water_withdrawal_p!$BH$2:$BH$180 )</f>
        <v>#N/A</v>
      </c>
      <c r="J20" s="17" t="e">
        <f>_xlfn.XLOOKUP($A20,[7]total_water_withdrawal_billion_!$A$2:$A$180, [7]total_water_withdrawal_billion_!$BK$2:$BK$180  )</f>
        <v>#N/A</v>
      </c>
      <c r="K20" s="17" t="e">
        <f>_xlfn.XLOOKUP($A20,[8]hydro_power_generation_total!$A$2:$A$119,[8]hydro_power_generation_total!$BA$2:$BA$119 )</f>
        <v>#N/A</v>
      </c>
      <c r="L20" s="17" t="str">
        <f>_xlfn.XLOOKUP($A20,[9]ag_lnd_prcp_mm!$A$2:$A$182, [9]ag_lnd_prcp_mm!$BL$2:$BL$182)</f>
        <v>1292</v>
      </c>
      <c r="M20" s="17" t="str">
        <f>_xlfn.XLOOKUP($A20,[10]co2_pcap_cons!$A$2:$A$193, [10]co2_pcap_cons!$HQ$2:$HQ$193)</f>
        <v>4.75</v>
      </c>
      <c r="N20" s="17">
        <f>_xlfn.XLOOKUP($A20,[11]primary_forest_area_ha!$A$2:$A$193, [11]primary_forest_area_ha!$AD$2:$AD$193)</f>
        <v>0</v>
      </c>
      <c r="O20" s="17" t="str">
        <f>_xlfn.XLOOKUP($A20,[12]en_mam_thrd_no!$A$2:$A$195,[12]en_mam_thrd_no!$G$2:$G$195)</f>
        <v>5</v>
      </c>
      <c r="P20" s="17" t="str">
        <f>_xlfn.XLOOKUP($A20,[13]en_fsh_thrd_no!$A$2:$A$195,[13]en_fsh_thrd_no!$G$2:$G$195)</f>
        <v>60</v>
      </c>
      <c r="Q20" s="17" t="str">
        <f>_xlfn.XLOOKUP($A20,[14]en_bir_thrd_no!$A$2:$A$195,[14]en_bir_thrd_no!$G$2:$G$195)</f>
        <v>9</v>
      </c>
      <c r="R20" s="17" t="str">
        <f>_xlfn.XLOOKUP($A20,[15]en_hpt_thrd_no!$A$2:$A$195,[15]en_hpt_thrd_no!$G$2:$G$195)</f>
        <v>28</v>
      </c>
      <c r="S20" s="17" t="str">
        <f>_xlfn.XLOOKUP($A20,[16]er_lnd_ptld_zs!$A$2:$A$194, [16]er_lnd_ptld_zs!$O$2:$O$194)</f>
        <v>34.6</v>
      </c>
      <c r="T20" s="17" t="str">
        <f>_xlfn.XLOOKUP($A20,[17]er_mrn_ptmr_zs!$A$2:$A$155,[17]er_mrn_ptmr_zs!$O$2:$O$155)</f>
        <v>7.7</v>
      </c>
    </row>
    <row r="21" spans="1:20" x14ac:dyDescent="0.2">
      <c r="A21" t="s">
        <v>59</v>
      </c>
      <c r="B21" t="s">
        <v>60</v>
      </c>
      <c r="C21" s="18" t="str">
        <f>_xlfn.XLOOKUP(A21,[1]Tabelle1!$A$2:$A$196,[1]Tabelle1!$C$2:$C$196)</f>
        <v>europe</v>
      </c>
      <c r="D21" t="s">
        <v>61</v>
      </c>
      <c r="E21" s="17" t="str">
        <f>_xlfn.XLOOKUP(A21,[2]lex!$A$2:$A$195, [2]lex!$HU$2:$HU$195)</f>
        <v>78.2</v>
      </c>
      <c r="F21" s="17" t="str">
        <f>_xlfn.XLOOKUP(A21,[3]gdp_pcap!$A$2:$A$194,[3]gdp_pcap!$HT$2:$HT$194 )</f>
        <v>21620.74836</v>
      </c>
      <c r="G21" s="17" t="str">
        <f>_xlfn.XLOOKUP($A21,[4]ag_lnd_totl_k2!$A$2:$A$195, [4]ag_lnd_totl_k2!$BM$2:$BM$195)</f>
        <v>51200</v>
      </c>
      <c r="H21" s="17" t="e">
        <f>_xlfn.XLOOKUP($A21,[5]industrial_water_withdrawal_per!$A$2:$A$179,[5]industrial_water_withdrawal_per!$BH$2:$BH$179 )</f>
        <v>#N/A</v>
      </c>
      <c r="I21" s="17" t="e">
        <f>_xlfn.XLOOKUP($A21,[6]agricultural_water_withdrawal_p!$A$2:$A$180,[6]agricultural_water_withdrawal_p!$BH$2:$BH$180 )</f>
        <v>#N/A</v>
      </c>
      <c r="J21" s="17" t="e">
        <f>_xlfn.XLOOKUP($A21,[7]total_water_withdrawal_billion_!$A$2:$A$180, [7]total_water_withdrawal_billion_!$BK$2:$BK$180  )</f>
        <v>#N/A</v>
      </c>
      <c r="K21" s="17" t="str">
        <f>_xlfn.XLOOKUP($A21,[8]hydro_power_generation_total!$A$2:$A$119,[8]hydro_power_generation_total!$BA$2:$BA$119 )</f>
        <v>690100</v>
      </c>
      <c r="L21" s="17" t="str">
        <f>_xlfn.XLOOKUP($A21,[9]ag_lnd_prcp_mm!$A$2:$A$182, [9]ag_lnd_prcp_mm!$BL$2:$BL$182)</f>
        <v>1028</v>
      </c>
      <c r="M21" s="17" t="str">
        <f>_xlfn.XLOOKUP($A21,[10]co2_pcap_cons!$A$2:$A$193, [10]co2_pcap_cons!$HQ$2:$HQ$193)</f>
        <v>6.452</v>
      </c>
      <c r="N21" s="17" t="str">
        <f>_xlfn.XLOOKUP($A21,[11]primary_forest_area_ha!$A$2:$A$193, [11]primary_forest_area_ha!$AD$2:$AD$193)</f>
        <v>2000</v>
      </c>
      <c r="O21" s="17" t="str">
        <f>_xlfn.XLOOKUP($A21,[12]en_mam_thrd_no!$A$2:$A$195,[12]en_mam_thrd_no!$G$2:$G$195)</f>
        <v>5</v>
      </c>
      <c r="P21" s="17" t="str">
        <f>_xlfn.XLOOKUP($A21,[13]en_fsh_thrd_no!$A$2:$A$195,[13]en_fsh_thrd_no!$G$2:$G$195)</f>
        <v>51</v>
      </c>
      <c r="Q21" s="17" t="str">
        <f>_xlfn.XLOOKUP($A21,[14]en_bir_thrd_no!$A$2:$A$195,[14]en_bir_thrd_no!$G$2:$G$195)</f>
        <v>9</v>
      </c>
      <c r="R21" s="17" t="str">
        <f>_xlfn.XLOOKUP($A21,[15]en_hpt_thrd_no!$A$2:$A$195,[15]en_hpt_thrd_no!$G$2:$G$195)</f>
        <v>5</v>
      </c>
      <c r="S21" s="17" t="str">
        <f>_xlfn.XLOOKUP($A21,[16]er_lnd_ptld_zs!$A$2:$A$194, [16]er_lnd_ptld_zs!$O$2:$O$194)</f>
        <v>9.5</v>
      </c>
      <c r="T21" s="17">
        <f>_xlfn.XLOOKUP($A21,[17]er_mrn_ptmr_zs!$A$2:$A$155,[17]er_mrn_ptmr_zs!$O$2:$O$155)</f>
        <v>0</v>
      </c>
    </row>
    <row r="22" spans="1:20" x14ac:dyDescent="0.2">
      <c r="A22" t="s">
        <v>62</v>
      </c>
      <c r="B22" t="s">
        <v>63</v>
      </c>
      <c r="C22" s="18" t="str">
        <f>_xlfn.XLOOKUP(A22,[1]Tabelle1!$A$2:$A$196,[1]Tabelle1!$C$2:$C$196)</f>
        <v>europe</v>
      </c>
      <c r="D22" t="s">
        <v>64</v>
      </c>
      <c r="E22" s="17" t="str">
        <f>_xlfn.XLOOKUP(A22,[2]lex!$A$2:$A$195, [2]lex!$HU$2:$HU$195)</f>
        <v>75.1</v>
      </c>
      <c r="F22" s="17" t="str">
        <f>_xlfn.XLOOKUP(A22,[3]gdp_pcap!$A$2:$A$194,[3]gdp_pcap!$HT$2:$HT$194 )</f>
        <v>28456.77856</v>
      </c>
      <c r="G22" s="17" t="str">
        <f>_xlfn.XLOOKUP($A22,[4]ag_lnd_totl_k2!$A$2:$A$195, [4]ag_lnd_totl_k2!$BM$2:$BM$195)</f>
        <v>202983</v>
      </c>
      <c r="H22" s="17" t="str">
        <f>_xlfn.XLOOKUP($A22,[5]industrial_water_withdrawal_per!$A$2:$A$179,[5]industrial_water_withdrawal_per!$BH$2:$BH$179 )</f>
        <v>30.41</v>
      </c>
      <c r="I22" s="17" t="str">
        <f>_xlfn.XLOOKUP($A22,[6]agricultural_water_withdrawal_p!$A$2:$A$180,[6]agricultural_water_withdrawal_p!$BH$2:$BH$180 )</f>
        <v>27.228</v>
      </c>
      <c r="J22" s="17" t="str">
        <f>_xlfn.XLOOKUP($A22,[7]total_water_withdrawal_billion_!$A$2:$A$180, [7]total_water_withdrawal_billion_!$BK$2:$BK$180  )</f>
        <v>1.414</v>
      </c>
      <c r="K22" s="17" t="str">
        <f>_xlfn.XLOOKUP($A22,[8]hydro_power_generation_total!$A$2:$A$119,[8]hydro_power_generation_total!$BA$2:$BA$119 )</f>
        <v>3869</v>
      </c>
      <c r="L22" s="17" t="str">
        <f>_xlfn.XLOOKUP($A22,[9]ag_lnd_prcp_mm!$A$2:$A$182, [9]ag_lnd_prcp_mm!$BL$2:$BL$182)</f>
        <v>618</v>
      </c>
      <c r="M22" s="17" t="str">
        <f>_xlfn.XLOOKUP($A22,[10]co2_pcap_cons!$A$2:$A$193, [10]co2_pcap_cons!$HQ$2:$HQ$193)</f>
        <v>6.322</v>
      </c>
      <c r="N22" s="17" t="str">
        <f>_xlfn.XLOOKUP($A22,[11]primary_forest_area_ha!$A$2:$A$193, [11]primary_forest_area_ha!$AD$2:$AD$193)</f>
        <v>400000</v>
      </c>
      <c r="O22" s="17" t="str">
        <f>_xlfn.XLOOKUP($A22,[12]en_mam_thrd_no!$A$2:$A$195,[12]en_mam_thrd_no!$G$2:$G$195)</f>
        <v>4</v>
      </c>
      <c r="P22" s="17" t="str">
        <f>_xlfn.XLOOKUP($A22,[13]en_fsh_thrd_no!$A$2:$A$195,[13]en_fsh_thrd_no!$G$2:$G$195)</f>
        <v>3</v>
      </c>
      <c r="Q22" s="17" t="str">
        <f>_xlfn.XLOOKUP($A22,[14]en_bir_thrd_no!$A$2:$A$195,[14]en_bir_thrd_no!$G$2:$G$195)</f>
        <v>11</v>
      </c>
      <c r="R22" s="17" t="str">
        <f>_xlfn.XLOOKUP($A22,[15]en_hpt_thrd_no!$A$2:$A$195,[15]en_hpt_thrd_no!$G$2:$G$195)</f>
        <v>2</v>
      </c>
      <c r="S22" s="17" t="str">
        <f>_xlfn.XLOOKUP($A22,[16]er_lnd_ptld_zs!$A$2:$A$194, [16]er_lnd_ptld_zs!$O$2:$O$194)</f>
        <v>9.2</v>
      </c>
      <c r="T22" s="17" t="e">
        <f>_xlfn.XLOOKUP($A22,[17]er_mrn_ptmr_zs!$A$2:$A$155,[17]er_mrn_ptmr_zs!$O$2:$O$155)</f>
        <v>#N/A</v>
      </c>
    </row>
    <row r="23" spans="1:20" x14ac:dyDescent="0.2">
      <c r="A23" t="s">
        <v>65</v>
      </c>
      <c r="B23" t="s">
        <v>66</v>
      </c>
      <c r="C23" s="18" t="str">
        <f>_xlfn.XLOOKUP(A23,[1]Tabelle1!$A$2:$A$196,[1]Tabelle1!$C$2:$C$196)</f>
        <v>americas</v>
      </c>
      <c r="D23" t="s">
        <v>67</v>
      </c>
      <c r="E23" s="17" t="str">
        <f>_xlfn.XLOOKUP(A23,[2]lex!$A$2:$A$195, [2]lex!$HU$2:$HU$195)</f>
        <v>75.71</v>
      </c>
      <c r="F23" s="17" t="str">
        <f>_xlfn.XLOOKUP(A23,[3]gdp_pcap!$A$2:$A$194,[3]gdp_pcap!$HT$2:$HT$194 )</f>
        <v>13847.69431</v>
      </c>
      <c r="G23" s="17" t="str">
        <f>_xlfn.XLOOKUP($A23,[4]ag_lnd_totl_k2!$A$2:$A$195, [4]ag_lnd_totl_k2!$BM$2:$BM$195)</f>
        <v>22810</v>
      </c>
      <c r="H23" s="17" t="str">
        <f>_xlfn.XLOOKUP($A23,[5]industrial_water_withdrawal_per!$A$2:$A$179,[5]industrial_water_withdrawal_per!$BH$2:$BH$179 )</f>
        <v>20.99</v>
      </c>
      <c r="I23" s="17" t="str">
        <f>_xlfn.XLOOKUP($A23,[6]agricultural_water_withdrawal_p!$A$2:$A$180,[6]agricultural_water_withdrawal_p!$BH$2:$BH$180 )</f>
        <v>67.723</v>
      </c>
      <c r="J23" s="17" t="str">
        <f>_xlfn.XLOOKUP($A23,[7]total_water_withdrawal_billion_!$A$2:$A$180, [7]total_water_withdrawal_billion_!$BK$2:$BK$180  )</f>
        <v>0.101</v>
      </c>
      <c r="K23" s="17" t="e">
        <f>_xlfn.XLOOKUP($A23,[8]hydro_power_generation_total!$A$2:$A$119,[8]hydro_power_generation_total!$BA$2:$BA$119 )</f>
        <v>#N/A</v>
      </c>
      <c r="L23" s="17" t="str">
        <f>_xlfn.XLOOKUP($A23,[9]ag_lnd_prcp_mm!$A$2:$A$182, [9]ag_lnd_prcp_mm!$BL$2:$BL$182)</f>
        <v>1705</v>
      </c>
      <c r="M23" s="17" t="str">
        <f>_xlfn.XLOOKUP($A23,[10]co2_pcap_cons!$A$2:$A$193, [10]co2_pcap_cons!$HQ$2:$HQ$193)</f>
        <v>1.516</v>
      </c>
      <c r="N23" s="17" t="str">
        <f>_xlfn.XLOOKUP($A23,[11]primary_forest_area_ha!$A$2:$A$193, [11]primary_forest_area_ha!$AD$2:$AD$193)</f>
        <v>599000</v>
      </c>
      <c r="O23" s="17" t="str">
        <f>_xlfn.XLOOKUP($A23,[12]en_mam_thrd_no!$A$2:$A$195,[12]en_mam_thrd_no!$G$2:$G$195)</f>
        <v>10</v>
      </c>
      <c r="P23" s="17" t="str">
        <f>_xlfn.XLOOKUP($A23,[13]en_fsh_thrd_no!$A$2:$A$195,[13]en_fsh_thrd_no!$G$2:$G$195)</f>
        <v>69</v>
      </c>
      <c r="Q23" s="17" t="str">
        <f>_xlfn.XLOOKUP($A23,[14]en_bir_thrd_no!$A$2:$A$195,[14]en_bir_thrd_no!$G$2:$G$195)</f>
        <v>8</v>
      </c>
      <c r="R23" s="17" t="str">
        <f>_xlfn.XLOOKUP($A23,[15]en_hpt_thrd_no!$A$2:$A$195,[15]en_hpt_thrd_no!$G$2:$G$195)</f>
        <v>84</v>
      </c>
      <c r="S23" s="17" t="str">
        <f>_xlfn.XLOOKUP($A23,[16]er_lnd_ptld_zs!$A$2:$A$194, [16]er_lnd_ptld_zs!$O$2:$O$194)</f>
        <v>37.3</v>
      </c>
      <c r="T23" s="17" t="str">
        <f>_xlfn.XLOOKUP($A23,[17]er_mrn_ptmr_zs!$A$2:$A$155,[17]er_mrn_ptmr_zs!$O$2:$O$155)</f>
        <v>20.4</v>
      </c>
    </row>
    <row r="24" spans="1:20" x14ac:dyDescent="0.2">
      <c r="A24" t="s">
        <v>68</v>
      </c>
      <c r="B24" t="s">
        <v>69</v>
      </c>
      <c r="C24" s="18" t="str">
        <f>_xlfn.XLOOKUP(A24,[1]Tabelle1!$A$2:$A$196,[1]Tabelle1!$C$2:$C$196)</f>
        <v>americas</v>
      </c>
      <c r="D24" t="s">
        <v>70</v>
      </c>
      <c r="E24" s="17" t="str">
        <f>_xlfn.XLOOKUP(A24,[2]lex!$A$2:$A$195, [2]lex!$HU$2:$HU$195)</f>
        <v>72.42</v>
      </c>
      <c r="F24" s="17" t="str">
        <f>_xlfn.XLOOKUP(A24,[3]gdp_pcap!$A$2:$A$194,[3]gdp_pcap!$HT$2:$HT$194 )</f>
        <v>10089.6259</v>
      </c>
      <c r="G24" s="17" t="str">
        <f>_xlfn.XLOOKUP($A24,[4]ag_lnd_totl_k2!$A$2:$A$195, [4]ag_lnd_totl_k2!$BM$2:$BM$195)</f>
        <v>1083300</v>
      </c>
      <c r="H24" s="17" t="str">
        <f>_xlfn.XLOOKUP($A24,[5]industrial_water_withdrawal_per!$A$2:$A$179,[5]industrial_water_withdrawal_per!$BH$2:$BH$179 )</f>
        <v>1.4513</v>
      </c>
      <c r="I24" s="17" t="str">
        <f>_xlfn.XLOOKUP($A24,[6]agricultural_water_withdrawal_p!$A$2:$A$180,[6]agricultural_water_withdrawal_p!$BH$2:$BH$180 )</f>
        <v>87.078</v>
      </c>
      <c r="J24" s="17" t="str">
        <f>_xlfn.XLOOKUP($A24,[7]total_water_withdrawal_billion_!$A$2:$A$180, [7]total_water_withdrawal_billion_!$BK$2:$BK$180  )</f>
        <v>2.2049</v>
      </c>
      <c r="K24" s="17" t="str">
        <f>_xlfn.XLOOKUP($A24,[8]hydro_power_generation_total!$A$2:$A$119,[8]hydro_power_generation_total!$BA$2:$BA$119 )</f>
        <v>187600</v>
      </c>
      <c r="L24" s="17" t="str">
        <f>_xlfn.XLOOKUP($A24,[9]ag_lnd_prcp_mm!$A$2:$A$182, [9]ag_lnd_prcp_mm!$BL$2:$BL$182)</f>
        <v>1146</v>
      </c>
      <c r="M24" s="17" t="str">
        <f>_xlfn.XLOOKUP($A24,[10]co2_pcap_cons!$A$2:$A$193, [10]co2_pcap_cons!$HQ$2:$HQ$193)</f>
        <v>1.988</v>
      </c>
      <c r="N24" s="17" t="str">
        <f>_xlfn.XLOOKUP($A24,[11]primary_forest_area_ha!$A$2:$A$193, [11]primary_forest_area_ha!$AD$2:$AD$193)</f>
        <v>36164000</v>
      </c>
      <c r="O24" s="17" t="str">
        <f>_xlfn.XLOOKUP($A24,[12]en_mam_thrd_no!$A$2:$A$195,[12]en_mam_thrd_no!$G$2:$G$195)</f>
        <v>24</v>
      </c>
      <c r="P24" s="17" t="str">
        <f>_xlfn.XLOOKUP($A24,[13]en_fsh_thrd_no!$A$2:$A$195,[13]en_fsh_thrd_no!$G$2:$G$195)</f>
        <v>9</v>
      </c>
      <c r="Q24" s="17" t="str">
        <f>_xlfn.XLOOKUP($A24,[14]en_bir_thrd_no!$A$2:$A$195,[14]en_bir_thrd_no!$G$2:$G$195)</f>
        <v>47</v>
      </c>
      <c r="R24" s="17" t="str">
        <f>_xlfn.XLOOKUP($A24,[15]en_hpt_thrd_no!$A$2:$A$195,[15]en_hpt_thrd_no!$G$2:$G$195)</f>
        <v>298</v>
      </c>
      <c r="S24" s="17" t="str">
        <f>_xlfn.XLOOKUP($A24,[16]er_lnd_ptld_zs!$A$2:$A$194, [16]er_lnd_ptld_zs!$O$2:$O$194)</f>
        <v>30.9</v>
      </c>
      <c r="T24" s="17" t="e">
        <f>_xlfn.XLOOKUP($A24,[17]er_mrn_ptmr_zs!$A$2:$A$155,[17]er_mrn_ptmr_zs!$O$2:$O$155)</f>
        <v>#N/A</v>
      </c>
    </row>
    <row r="25" spans="1:20" x14ac:dyDescent="0.2">
      <c r="A25" t="s">
        <v>71</v>
      </c>
      <c r="B25" t="s">
        <v>72</v>
      </c>
      <c r="C25" s="18" t="str">
        <f>_xlfn.XLOOKUP(A25,[1]Tabelle1!$A$2:$A$196,[1]Tabelle1!$C$2:$C$196)</f>
        <v>americas</v>
      </c>
      <c r="D25" t="s">
        <v>73</v>
      </c>
      <c r="E25" s="17" t="str">
        <f>_xlfn.XLOOKUP(A25,[2]lex!$A$2:$A$195, [2]lex!$HU$2:$HU$195)</f>
        <v>77.51</v>
      </c>
      <c r="F25" s="17" t="str">
        <f>_xlfn.XLOOKUP(A25,[3]gdp_pcap!$A$2:$A$194,[3]gdp_pcap!$HT$2:$HT$194 )</f>
        <v>20500.23168</v>
      </c>
      <c r="G25" s="17" t="str">
        <f>_xlfn.XLOOKUP($A25,[4]ag_lnd_totl_k2!$A$2:$A$195, [4]ag_lnd_totl_k2!$BM$2:$BM$195)</f>
        <v>8358140</v>
      </c>
      <c r="H25" s="17" t="str">
        <f>_xlfn.XLOOKUP($A25,[5]industrial_water_withdrawal_per!$A$2:$A$179,[5]industrial_water_withdrawal_per!$BH$2:$BH$179 )</f>
        <v>15.013</v>
      </c>
      <c r="I25" s="17" t="str">
        <f>_xlfn.XLOOKUP($A25,[6]agricultural_water_withdrawal_p!$A$2:$A$180,[6]agricultural_water_withdrawal_p!$BH$2:$BH$180 )</f>
        <v>60.842</v>
      </c>
      <c r="J25" s="17" t="str">
        <f>_xlfn.XLOOKUP($A25,[7]total_water_withdrawal_billion_!$A$2:$A$180, [7]total_water_withdrawal_billion_!$BK$2:$BK$180  )</f>
        <v>67.94</v>
      </c>
      <c r="K25" s="17" t="str">
        <f>_xlfn.XLOOKUP($A25,[8]hydro_power_generation_total!$A$2:$A$119,[8]hydro_power_generation_total!$BA$2:$BA$119 )</f>
        <v>34680000</v>
      </c>
      <c r="L25" s="17" t="str">
        <f>_xlfn.XLOOKUP($A25,[9]ag_lnd_prcp_mm!$A$2:$A$182, [9]ag_lnd_prcp_mm!$BL$2:$BL$182)</f>
        <v>1761</v>
      </c>
      <c r="M25" s="17" t="str">
        <f>_xlfn.XLOOKUP($A25,[10]co2_pcap_cons!$A$2:$A$193, [10]co2_pcap_cons!$HQ$2:$HQ$193)</f>
        <v>2.109</v>
      </c>
      <c r="N25" s="17" t="str">
        <f>_xlfn.XLOOKUP($A25,[11]primary_forest_area_ha!$A$2:$A$193, [11]primary_forest_area_ha!$AD$2:$AD$193)</f>
        <v>202691000</v>
      </c>
      <c r="O25" s="17" t="str">
        <f>_xlfn.XLOOKUP($A25,[12]en_mam_thrd_no!$A$2:$A$195,[12]en_mam_thrd_no!$G$2:$G$195)</f>
        <v>97</v>
      </c>
      <c r="P25" s="17" t="str">
        <f>_xlfn.XLOOKUP($A25,[13]en_fsh_thrd_no!$A$2:$A$195,[13]en_fsh_thrd_no!$G$2:$G$195)</f>
        <v>360</v>
      </c>
      <c r="Q25" s="17" t="str">
        <f>_xlfn.XLOOKUP($A25,[14]en_bir_thrd_no!$A$2:$A$195,[14]en_bir_thrd_no!$G$2:$G$195)</f>
        <v>155</v>
      </c>
      <c r="R25" s="17" t="str">
        <f>_xlfn.XLOOKUP($A25,[15]en_hpt_thrd_no!$A$2:$A$195,[15]en_hpt_thrd_no!$G$2:$G$195)</f>
        <v>1346</v>
      </c>
      <c r="S25" s="17" t="str">
        <f>_xlfn.XLOOKUP($A25,[16]er_lnd_ptld_zs!$A$2:$A$194, [16]er_lnd_ptld_zs!$O$2:$O$194)</f>
        <v>30.6</v>
      </c>
      <c r="T25" s="17" t="str">
        <f>_xlfn.XLOOKUP($A25,[17]er_mrn_ptmr_zs!$A$2:$A$155,[17]er_mrn_ptmr_zs!$O$2:$O$155)</f>
        <v>26.6</v>
      </c>
    </row>
    <row r="26" spans="1:20" x14ac:dyDescent="0.2">
      <c r="A26" t="s">
        <v>74</v>
      </c>
      <c r="B26" t="s">
        <v>75</v>
      </c>
      <c r="C26" s="18" t="str">
        <f>_xlfn.XLOOKUP(A26,[1]Tabelle1!$A$2:$A$196,[1]Tabelle1!$C$2:$C$196)</f>
        <v>americas</v>
      </c>
      <c r="D26" t="s">
        <v>76</v>
      </c>
      <c r="E26" s="17" t="str">
        <f>_xlfn.XLOOKUP(A26,[2]lex!$A$2:$A$195, [2]lex!$HU$2:$HU$195)</f>
        <v>77.1</v>
      </c>
      <c r="F26" s="17" t="str">
        <f>_xlfn.XLOOKUP(A26,[3]gdp_pcap!$A$2:$A$194,[3]gdp_pcap!$HT$2:$HT$194 )</f>
        <v>21036.46289</v>
      </c>
      <c r="G26" s="17" t="str">
        <f>_xlfn.XLOOKUP($A26,[4]ag_lnd_totl_k2!$A$2:$A$195, [4]ag_lnd_totl_k2!$BM$2:$BM$195)</f>
        <v>430</v>
      </c>
      <c r="H26" s="17" t="str">
        <f>_xlfn.XLOOKUP($A26,[5]industrial_water_withdrawal_per!$A$2:$A$179,[5]industrial_water_withdrawal_per!$BH$2:$BH$179 )</f>
        <v>7.6543</v>
      </c>
      <c r="I26" s="17" t="str">
        <f>_xlfn.XLOOKUP($A26,[6]agricultural_water_withdrawal_p!$A$2:$A$180,[6]agricultural_water_withdrawal_p!$BH$2:$BH$180 )</f>
        <v>67.654</v>
      </c>
      <c r="J26" s="17" t="str">
        <f>_xlfn.XLOOKUP($A26,[7]total_water_withdrawal_billion_!$A$2:$A$180, [7]total_water_withdrawal_billion_!$BK$2:$BK$180  )</f>
        <v>0.081</v>
      </c>
      <c r="K26" s="17" t="e">
        <f>_xlfn.XLOOKUP($A26,[8]hydro_power_generation_total!$A$2:$A$119,[8]hydro_power_generation_total!$BA$2:$BA$119 )</f>
        <v>#N/A</v>
      </c>
      <c r="L26" s="17" t="str">
        <f>_xlfn.XLOOKUP($A26,[9]ag_lnd_prcp_mm!$A$2:$A$182, [9]ag_lnd_prcp_mm!$BL$2:$BL$182)</f>
        <v>1422</v>
      </c>
      <c r="M26" s="17" t="str">
        <f>_xlfn.XLOOKUP($A26,[10]co2_pcap_cons!$A$2:$A$193, [10]co2_pcap_cons!$HQ$2:$HQ$193)</f>
        <v>4.522</v>
      </c>
      <c r="N26" s="17" t="str">
        <f>_xlfn.XLOOKUP($A26,[11]primary_forest_area_ha!$A$2:$A$193, [11]primary_forest_area_ha!$AD$2:$AD$193)</f>
        <v>3</v>
      </c>
      <c r="O26" s="17" t="str">
        <f>_xlfn.XLOOKUP($A26,[12]en_mam_thrd_no!$A$2:$A$195,[12]en_mam_thrd_no!$G$2:$G$195)</f>
        <v>3</v>
      </c>
      <c r="P26" s="17" t="str">
        <f>_xlfn.XLOOKUP($A26,[13]en_fsh_thrd_no!$A$2:$A$195,[13]en_fsh_thrd_no!$G$2:$G$195)</f>
        <v>48</v>
      </c>
      <c r="Q26" s="17" t="str">
        <f>_xlfn.XLOOKUP($A26,[14]en_bir_thrd_no!$A$2:$A$195,[14]en_bir_thrd_no!$G$2:$G$195)</f>
        <v>3</v>
      </c>
      <c r="R26" s="17" t="str">
        <f>_xlfn.XLOOKUP($A26,[15]en_hpt_thrd_no!$A$2:$A$195,[15]en_hpt_thrd_no!$G$2:$G$195)</f>
        <v>4</v>
      </c>
      <c r="S26" s="17" t="str">
        <f>_xlfn.XLOOKUP($A26,[16]er_lnd_ptld_zs!$A$2:$A$194, [16]er_lnd_ptld_zs!$O$2:$O$194)</f>
        <v>1.1</v>
      </c>
      <c r="T26" s="17">
        <f>_xlfn.XLOOKUP($A26,[17]er_mrn_ptmr_zs!$A$2:$A$155,[17]er_mrn_ptmr_zs!$O$2:$O$155)</f>
        <v>0</v>
      </c>
    </row>
    <row r="27" spans="1:20" x14ac:dyDescent="0.2">
      <c r="A27" t="s">
        <v>77</v>
      </c>
      <c r="B27" t="s">
        <v>78</v>
      </c>
      <c r="C27" s="18" t="str">
        <f>_xlfn.XLOOKUP(A27,[1]Tabelle1!$A$2:$A$196,[1]Tabelle1!$C$2:$C$196)</f>
        <v>asia</v>
      </c>
      <c r="D27" t="s">
        <v>79</v>
      </c>
      <c r="E27" s="17" t="str">
        <f>_xlfn.XLOOKUP(A27,[2]lex!$A$2:$A$195, [2]lex!$HU$2:$HU$195)</f>
        <v>78.62</v>
      </c>
      <c r="F27" s="17" t="str">
        <f>_xlfn.XLOOKUP(A27,[3]gdp_pcap!$A$2:$A$194,[3]gdp_pcap!$HT$2:$HT$194 )</f>
        <v>82692.81626</v>
      </c>
      <c r="G27" s="17" t="str">
        <f>_xlfn.XLOOKUP($A27,[4]ag_lnd_totl_k2!$A$2:$A$195, [4]ag_lnd_totl_k2!$BM$2:$BM$195)</f>
        <v>5270</v>
      </c>
      <c r="H27" s="17" t="e">
        <f>_xlfn.XLOOKUP($A27,[5]industrial_water_withdrawal_per!$A$2:$A$179,[5]industrial_water_withdrawal_per!$BH$2:$BH$179 )</f>
        <v>#N/A</v>
      </c>
      <c r="I27" s="17" t="str">
        <f>_xlfn.XLOOKUP($A27,[6]agricultural_water_withdrawal_p!$A$2:$A$180,[6]agricultural_water_withdrawal_p!$BH$2:$BH$180 )</f>
        <v>5.7609</v>
      </c>
      <c r="J27" s="17" t="str">
        <f>_xlfn.XLOOKUP($A27,[7]total_water_withdrawal_billion_!$A$2:$A$180, [7]total_water_withdrawal_billion_!$BK$2:$BK$180  )</f>
        <v>0.092</v>
      </c>
      <c r="K27" s="17" t="e">
        <f>_xlfn.XLOOKUP($A27,[8]hydro_power_generation_total!$A$2:$A$119,[8]hydro_power_generation_total!$BA$2:$BA$119 )</f>
        <v>#N/A</v>
      </c>
      <c r="L27" s="17" t="str">
        <f>_xlfn.XLOOKUP($A27,[9]ag_lnd_prcp_mm!$A$2:$A$182, [9]ag_lnd_prcp_mm!$BL$2:$BL$182)</f>
        <v>2722</v>
      </c>
      <c r="M27" s="17" t="str">
        <f>_xlfn.XLOOKUP($A27,[10]co2_pcap_cons!$A$2:$A$193, [10]co2_pcap_cons!$HQ$2:$HQ$193)</f>
        <v>24.477</v>
      </c>
      <c r="N27" s="17" t="str">
        <f>_xlfn.XLOOKUP($A27,[11]primary_forest_area_ha!$A$2:$A$193, [11]primary_forest_area_ha!$AD$2:$AD$193)</f>
        <v>263000</v>
      </c>
      <c r="O27" s="17" t="str">
        <f>_xlfn.XLOOKUP($A27,[12]en_mam_thrd_no!$A$2:$A$195,[12]en_mam_thrd_no!$G$2:$G$195)</f>
        <v>37</v>
      </c>
      <c r="P27" s="17" t="str">
        <f>_xlfn.XLOOKUP($A27,[13]en_fsh_thrd_no!$A$2:$A$195,[13]en_fsh_thrd_no!$G$2:$G$195)</f>
        <v>61</v>
      </c>
      <c r="Q27" s="17" t="str">
        <f>_xlfn.XLOOKUP($A27,[14]en_bir_thrd_no!$A$2:$A$195,[14]en_bir_thrd_no!$G$2:$G$195)</f>
        <v>39</v>
      </c>
      <c r="R27" s="17" t="str">
        <f>_xlfn.XLOOKUP($A27,[15]en_hpt_thrd_no!$A$2:$A$195,[15]en_hpt_thrd_no!$G$2:$G$195)</f>
        <v>182</v>
      </c>
      <c r="S27" s="17" t="str">
        <f>_xlfn.XLOOKUP($A27,[16]er_lnd_ptld_zs!$A$2:$A$194, [16]er_lnd_ptld_zs!$O$2:$O$194)</f>
        <v>39.9</v>
      </c>
      <c r="T27" s="17">
        <f>_xlfn.XLOOKUP($A27,[17]er_mrn_ptmr_zs!$A$2:$A$155,[17]er_mrn_ptmr_zs!$O$2:$O$155)</f>
        <v>0</v>
      </c>
    </row>
    <row r="28" spans="1:20" x14ac:dyDescent="0.2">
      <c r="A28" t="s">
        <v>80</v>
      </c>
      <c r="B28" t="s">
        <v>81</v>
      </c>
      <c r="C28" s="18" t="str">
        <f>_xlfn.XLOOKUP(A28,[1]Tabelle1!$A$2:$A$196,[1]Tabelle1!$C$2:$C$196)</f>
        <v>asia</v>
      </c>
      <c r="D28" t="s">
        <v>82</v>
      </c>
      <c r="E28" s="17" t="str">
        <f>_xlfn.XLOOKUP(A28,[2]lex!$A$2:$A$195, [2]lex!$HU$2:$HU$195)</f>
        <v>73.4</v>
      </c>
      <c r="F28" s="17" t="str">
        <f>_xlfn.XLOOKUP(A28,[3]gdp_pcap!$A$2:$A$194,[3]gdp_pcap!$HT$2:$HT$194 )</f>
        <v>16920.9576</v>
      </c>
      <c r="G28" s="17" t="str">
        <f>_xlfn.XLOOKUP($A28,[4]ag_lnd_totl_k2!$A$2:$A$195, [4]ag_lnd_totl_k2!$BM$2:$BM$195)</f>
        <v>38140</v>
      </c>
      <c r="H28" s="17" t="str">
        <f>_xlfn.XLOOKUP($A28,[5]industrial_water_withdrawal_per!$A$2:$A$179,[5]industrial_water_withdrawal_per!$BH$2:$BH$179 )</f>
        <v>0.88757</v>
      </c>
      <c r="I28" s="17" t="str">
        <f>_xlfn.XLOOKUP($A28,[6]agricultural_water_withdrawal_p!$A$2:$A$180,[6]agricultural_water_withdrawal_p!$BH$2:$BH$180 )</f>
        <v>94.083</v>
      </c>
      <c r="J28" s="17" t="str">
        <f>_xlfn.XLOOKUP($A28,[7]total_water_withdrawal_billion_!$A$2:$A$180, [7]total_water_withdrawal_billion_!$BK$2:$BK$180  )</f>
        <v>0.338</v>
      </c>
      <c r="K28" s="17" t="e">
        <f>_xlfn.XLOOKUP($A28,[8]hydro_power_generation_total!$A$2:$A$119,[8]hydro_power_generation_total!$BA$2:$BA$119 )</f>
        <v>#N/A</v>
      </c>
      <c r="L28" s="17" t="str">
        <f>_xlfn.XLOOKUP($A28,[9]ag_lnd_prcp_mm!$A$2:$A$182, [9]ag_lnd_prcp_mm!$BL$2:$BL$182)</f>
        <v>2200</v>
      </c>
      <c r="M28" s="17" t="str">
        <f>_xlfn.XLOOKUP($A28,[10]co2_pcap_cons!$A$2:$A$193, [10]co2_pcap_cons!$HQ$2:$HQ$193)</f>
        <v>1.802</v>
      </c>
      <c r="N28" s="17" t="str">
        <f>_xlfn.XLOOKUP($A28,[11]primary_forest_area_ha!$A$2:$A$193, [11]primary_forest_area_ha!$AD$2:$AD$193)</f>
        <v>413000</v>
      </c>
      <c r="O28" s="17" t="str">
        <f>_xlfn.XLOOKUP($A28,[12]en_mam_thrd_no!$A$2:$A$195,[12]en_mam_thrd_no!$G$2:$G$195)</f>
        <v>28</v>
      </c>
      <c r="P28" s="17" t="str">
        <f>_xlfn.XLOOKUP($A28,[13]en_fsh_thrd_no!$A$2:$A$195,[13]en_fsh_thrd_no!$G$2:$G$195)</f>
        <v>5</v>
      </c>
      <c r="Q28" s="17" t="str">
        <f>_xlfn.XLOOKUP($A28,[14]en_bir_thrd_no!$A$2:$A$195,[14]en_bir_thrd_no!$G$2:$G$195)</f>
        <v>19</v>
      </c>
      <c r="R28" s="17" t="str">
        <f>_xlfn.XLOOKUP($A28,[15]en_hpt_thrd_no!$A$2:$A$195,[15]en_hpt_thrd_no!$G$2:$G$195)</f>
        <v>55</v>
      </c>
      <c r="S28" s="17" t="str">
        <f>_xlfn.XLOOKUP($A28,[16]er_lnd_ptld_zs!$A$2:$A$194, [16]er_lnd_ptld_zs!$O$2:$O$194)</f>
        <v>51.6</v>
      </c>
      <c r="T28" s="17" t="e">
        <f>_xlfn.XLOOKUP($A28,[17]er_mrn_ptmr_zs!$A$2:$A$155,[17]er_mrn_ptmr_zs!$O$2:$O$155)</f>
        <v>#N/A</v>
      </c>
    </row>
    <row r="29" spans="1:20" x14ac:dyDescent="0.2">
      <c r="A29" t="s">
        <v>83</v>
      </c>
      <c r="B29" t="s">
        <v>84</v>
      </c>
      <c r="C29" s="18" t="str">
        <f>_xlfn.XLOOKUP(A29,[1]Tabelle1!$A$2:$A$196,[1]Tabelle1!$C$2:$C$196)</f>
        <v>africa</v>
      </c>
      <c r="D29" t="s">
        <v>85</v>
      </c>
      <c r="E29" s="17" t="str">
        <f>_xlfn.XLOOKUP(A29,[2]lex!$A$2:$A$195, [2]lex!$HU$2:$HU$195)</f>
        <v>70.51</v>
      </c>
      <c r="F29" s="17" t="str">
        <f>_xlfn.XLOOKUP(A29,[3]gdp_pcap!$A$2:$A$194,[3]gdp_pcap!$HT$2:$HT$194 )</f>
        <v>18189.03301</v>
      </c>
      <c r="G29" s="17" t="str">
        <f>_xlfn.XLOOKUP($A29,[4]ag_lnd_totl_k2!$A$2:$A$195, [4]ag_lnd_totl_k2!$BM$2:$BM$195)</f>
        <v>566730</v>
      </c>
      <c r="H29" s="17" t="str">
        <f>_xlfn.XLOOKUP($A29,[5]industrial_water_withdrawal_per!$A$2:$A$179,[5]industrial_water_withdrawal_per!$BH$2:$BH$179 )</f>
        <v>11.391</v>
      </c>
      <c r="I29" s="17" t="str">
        <f>_xlfn.XLOOKUP($A29,[6]agricultural_water_withdrawal_p!$A$2:$A$180,[6]agricultural_water_withdrawal_p!$BH$2:$BH$180 )</f>
        <v>27.973</v>
      </c>
      <c r="J29" s="17" t="str">
        <f>_xlfn.XLOOKUP($A29,[7]total_water_withdrawal_billion_!$A$2:$A$180, [7]total_water_withdrawal_billion_!$BK$2:$BK$180  )</f>
        <v>0.21328</v>
      </c>
      <c r="K29" s="17" t="e">
        <f>_xlfn.XLOOKUP($A29,[8]hydro_power_generation_total!$A$2:$A$119,[8]hydro_power_generation_total!$BA$2:$BA$119 )</f>
        <v>#N/A</v>
      </c>
      <c r="L29" s="17" t="str">
        <f>_xlfn.XLOOKUP($A29,[9]ag_lnd_prcp_mm!$A$2:$A$182, [9]ag_lnd_prcp_mm!$BL$2:$BL$182)</f>
        <v>416</v>
      </c>
      <c r="M29" s="17" t="str">
        <f>_xlfn.XLOOKUP($A29,[10]co2_pcap_cons!$A$2:$A$193, [10]co2_pcap_cons!$HQ$2:$HQ$193)</f>
        <v>5.104</v>
      </c>
      <c r="N29" s="17">
        <f>_xlfn.XLOOKUP($A29,[11]primary_forest_area_ha!$A$2:$A$193, [11]primary_forest_area_ha!$AD$2:$AD$193)</f>
        <v>0</v>
      </c>
      <c r="O29" s="17" t="str">
        <f>_xlfn.XLOOKUP($A29,[12]en_mam_thrd_no!$A$2:$A$195,[12]en_mam_thrd_no!$G$2:$G$195)</f>
        <v>11</v>
      </c>
      <c r="P29" s="17" t="str">
        <f>_xlfn.XLOOKUP($A29,[13]en_fsh_thrd_no!$A$2:$A$195,[13]en_fsh_thrd_no!$G$2:$G$195)</f>
        <v>2</v>
      </c>
      <c r="Q29" s="17" t="str">
        <f>_xlfn.XLOOKUP($A29,[14]en_bir_thrd_no!$A$2:$A$195,[14]en_bir_thrd_no!$G$2:$G$195)</f>
        <v>18</v>
      </c>
      <c r="R29" s="17" t="str">
        <f>_xlfn.XLOOKUP($A29,[15]en_hpt_thrd_no!$A$2:$A$195,[15]en_hpt_thrd_no!$G$2:$G$195)</f>
        <v>3</v>
      </c>
      <c r="S29" s="17" t="str">
        <f>_xlfn.XLOOKUP($A29,[16]er_lnd_ptld_zs!$A$2:$A$194, [16]er_lnd_ptld_zs!$O$2:$O$194)</f>
        <v>27.6</v>
      </c>
      <c r="T29" s="17" t="e">
        <f>_xlfn.XLOOKUP($A29,[17]er_mrn_ptmr_zs!$A$2:$A$155,[17]er_mrn_ptmr_zs!$O$2:$O$155)</f>
        <v>#N/A</v>
      </c>
    </row>
    <row r="30" spans="1:20" x14ac:dyDescent="0.2">
      <c r="A30" t="s">
        <v>86</v>
      </c>
      <c r="B30" t="s">
        <v>87</v>
      </c>
      <c r="C30" s="18" t="str">
        <f>_xlfn.XLOOKUP(A30,[1]Tabelle1!$A$2:$A$196,[1]Tabelle1!$C$2:$C$196)</f>
        <v>africa</v>
      </c>
      <c r="D30" t="s">
        <v>88</v>
      </c>
      <c r="E30" s="17" t="str">
        <f>_xlfn.XLOOKUP(A30,[2]lex!$A$2:$A$195, [2]lex!$HU$2:$HU$195)</f>
        <v>55.77</v>
      </c>
      <c r="F30" s="17" t="str">
        <f>_xlfn.XLOOKUP(A30,[3]gdp_pcap!$A$2:$A$194,[3]gdp_pcap!$HT$2:$HT$194 )</f>
        <v>1135.80389</v>
      </c>
      <c r="G30" s="17" t="str">
        <f>_xlfn.XLOOKUP($A30,[4]ag_lnd_totl_k2!$A$2:$A$195, [4]ag_lnd_totl_k2!$BM$2:$BM$195)</f>
        <v>622980</v>
      </c>
      <c r="H30" s="17" t="str">
        <f>_xlfn.XLOOKUP($A30,[5]industrial_water_withdrawal_per!$A$2:$A$179,[5]industrial_water_withdrawal_per!$BH$2:$BH$179 )</f>
        <v>16.552</v>
      </c>
      <c r="I30" s="17" t="str">
        <f>_xlfn.XLOOKUP($A30,[6]agricultural_water_withdrawal_p!$A$2:$A$180,[6]agricultural_water_withdrawal_p!$BH$2:$BH$180 )</f>
        <v>0.55172</v>
      </c>
      <c r="J30" s="17" t="str">
        <f>_xlfn.XLOOKUP($A30,[7]total_water_withdrawal_billion_!$A$2:$A$180, [7]total_water_withdrawal_billion_!$BK$2:$BK$180  )</f>
        <v>0.0725</v>
      </c>
      <c r="K30" s="17" t="e">
        <f>_xlfn.XLOOKUP($A30,[8]hydro_power_generation_total!$A$2:$A$119,[8]hydro_power_generation_total!$BA$2:$BA$119 )</f>
        <v>#N/A</v>
      </c>
      <c r="L30" s="17" t="str">
        <f>_xlfn.XLOOKUP($A30,[9]ag_lnd_prcp_mm!$A$2:$A$182, [9]ag_lnd_prcp_mm!$BL$2:$BL$182)</f>
        <v>1343</v>
      </c>
      <c r="M30" s="17" t="str">
        <f>_xlfn.XLOOKUP($A30,[10]co2_pcap_cons!$A$2:$A$193, [10]co2_pcap_cons!$HQ$2:$HQ$193)</f>
        <v>0.071</v>
      </c>
      <c r="N30" s="17" t="str">
        <f>_xlfn.XLOOKUP($A30,[11]primary_forest_area_ha!$A$2:$A$193, [11]primary_forest_area_ha!$AD$2:$AD$193)</f>
        <v>1988000</v>
      </c>
      <c r="O30" s="17" t="str">
        <f>_xlfn.XLOOKUP($A30,[12]en_mam_thrd_no!$A$2:$A$195,[12]en_mam_thrd_no!$G$2:$G$195)</f>
        <v>20</v>
      </c>
      <c r="P30" s="17" t="str">
        <f>_xlfn.XLOOKUP($A30,[13]en_fsh_thrd_no!$A$2:$A$195,[13]en_fsh_thrd_no!$G$2:$G$195)</f>
        <v>3</v>
      </c>
      <c r="Q30" s="17" t="str">
        <f>_xlfn.XLOOKUP($A30,[14]en_bir_thrd_no!$A$2:$A$195,[14]en_bir_thrd_no!$G$2:$G$195)</f>
        <v>18</v>
      </c>
      <c r="R30" s="17" t="str">
        <f>_xlfn.XLOOKUP($A30,[15]en_hpt_thrd_no!$A$2:$A$195,[15]en_hpt_thrd_no!$G$2:$G$195)</f>
        <v>50</v>
      </c>
      <c r="S30" s="17" t="str">
        <f>_xlfn.XLOOKUP($A30,[16]er_lnd_ptld_zs!$A$2:$A$194, [16]er_lnd_ptld_zs!$O$2:$O$194)</f>
        <v>14.8</v>
      </c>
      <c r="T30" s="17" t="e">
        <f>_xlfn.XLOOKUP($A30,[17]er_mrn_ptmr_zs!$A$2:$A$155,[17]er_mrn_ptmr_zs!$O$2:$O$155)</f>
        <v>#N/A</v>
      </c>
    </row>
    <row r="31" spans="1:20" x14ac:dyDescent="0.2">
      <c r="A31" t="s">
        <v>89</v>
      </c>
      <c r="B31" t="s">
        <v>90</v>
      </c>
      <c r="C31" s="18" t="str">
        <f>_xlfn.XLOOKUP(A31,[1]Tabelle1!$A$2:$A$196,[1]Tabelle1!$C$2:$C$196)</f>
        <v>americas</v>
      </c>
      <c r="D31" t="s">
        <v>91</v>
      </c>
      <c r="E31" s="17" t="str">
        <f>_xlfn.XLOOKUP(A31,[2]lex!$A$2:$A$195, [2]lex!$HU$2:$HU$195)</f>
        <v>82.4</v>
      </c>
      <c r="F31" s="17" t="str">
        <f>_xlfn.XLOOKUP(A31,[3]gdp_pcap!$A$2:$A$194,[3]gdp_pcap!$HT$2:$HT$194 )</f>
        <v>58422.42505</v>
      </c>
      <c r="G31" s="17" t="str">
        <f>_xlfn.XLOOKUP($A31,[4]ag_lnd_totl_k2!$A$2:$A$195, [4]ag_lnd_totl_k2!$BM$2:$BM$195)</f>
        <v>8788700</v>
      </c>
      <c r="H31" s="17" t="str">
        <f>_xlfn.XLOOKUP($A31,[5]industrial_water_withdrawal_per!$A$2:$A$179,[5]industrial_water_withdrawal_per!$BH$2:$BH$179 )</f>
        <v>75.813</v>
      </c>
      <c r="I31" s="17" t="str">
        <f>_xlfn.XLOOKUP($A31,[6]agricultural_water_withdrawal_p!$A$2:$A$180,[6]agricultural_water_withdrawal_p!$BH$2:$BH$180 )</f>
        <v>10.694</v>
      </c>
      <c r="J31" s="17" t="str">
        <f>_xlfn.XLOOKUP($A31,[7]total_water_withdrawal_billion_!$A$2:$A$180, [7]total_water_withdrawal_billion_!$BK$2:$BK$180  )</f>
        <v>36.085</v>
      </c>
      <c r="K31" s="17" t="str">
        <f>_xlfn.XLOOKUP($A31,[8]hydro_power_generation_total!$A$2:$A$119,[8]hydro_power_generation_total!$BA$2:$BA$119 )</f>
        <v>30220000</v>
      </c>
      <c r="L31" s="17" t="str">
        <f>_xlfn.XLOOKUP($A31,[9]ag_lnd_prcp_mm!$A$2:$A$182, [9]ag_lnd_prcp_mm!$BL$2:$BL$182)</f>
        <v>537</v>
      </c>
      <c r="M31" s="17" t="str">
        <f>_xlfn.XLOOKUP($A31,[10]co2_pcap_cons!$A$2:$A$193, [10]co2_pcap_cons!$HQ$2:$HQ$193)</f>
        <v>13.173</v>
      </c>
      <c r="N31" s="17" t="str">
        <f>_xlfn.XLOOKUP($A31,[11]primary_forest_area_ha!$A$2:$A$193, [11]primary_forest_area_ha!$AD$2:$AD$193)</f>
        <v>205924000</v>
      </c>
      <c r="O31" s="17" t="str">
        <f>_xlfn.XLOOKUP($A31,[12]en_mam_thrd_no!$A$2:$A$195,[12]en_mam_thrd_no!$G$2:$G$195)</f>
        <v>18</v>
      </c>
      <c r="P31" s="17" t="str">
        <f>_xlfn.XLOOKUP($A31,[13]en_fsh_thrd_no!$A$2:$A$195,[13]en_fsh_thrd_no!$G$2:$G$195)</f>
        <v>51</v>
      </c>
      <c r="Q31" s="17" t="str">
        <f>_xlfn.XLOOKUP($A31,[14]en_bir_thrd_no!$A$2:$A$195,[14]en_bir_thrd_no!$G$2:$G$195)</f>
        <v>22</v>
      </c>
      <c r="R31" s="17" t="str">
        <f>_xlfn.XLOOKUP($A31,[15]en_hpt_thrd_no!$A$2:$A$195,[15]en_hpt_thrd_no!$G$2:$G$195)</f>
        <v>21</v>
      </c>
      <c r="S31" s="17" t="str">
        <f>_xlfn.XLOOKUP($A31,[16]er_lnd_ptld_zs!$A$2:$A$194, [16]er_lnd_ptld_zs!$O$2:$O$194)</f>
        <v>12.9</v>
      </c>
      <c r="T31" s="17" t="str">
        <f>_xlfn.XLOOKUP($A31,[17]er_mrn_ptmr_zs!$A$2:$A$155,[17]er_mrn_ptmr_zs!$O$2:$O$155)</f>
        <v>9.2</v>
      </c>
    </row>
    <row r="32" spans="1:20" x14ac:dyDescent="0.2">
      <c r="A32" t="s">
        <v>92</v>
      </c>
      <c r="B32" t="s">
        <v>93</v>
      </c>
      <c r="C32" s="18" t="str">
        <f>_xlfn.XLOOKUP(A32,[1]Tabelle1!$A$2:$A$196,[1]Tabelle1!$C$2:$C$196)</f>
        <v>europe</v>
      </c>
      <c r="D32" t="s">
        <v>94</v>
      </c>
      <c r="E32" s="17" t="str">
        <f>_xlfn.XLOOKUP(A32,[2]lex!$A$2:$A$195, [2]lex!$HU$2:$HU$195)</f>
        <v>84.8</v>
      </c>
      <c r="F32" s="17" t="str">
        <f>_xlfn.XLOOKUP(A32,[3]gdp_pcap!$A$2:$A$194,[3]gdp_pcap!$HT$2:$HT$194 )</f>
        <v>84310.9311</v>
      </c>
      <c r="G32" s="17" t="str">
        <f>_xlfn.XLOOKUP($A32,[4]ag_lnd_totl_k2!$A$2:$A$195, [4]ag_lnd_totl_k2!$BM$2:$BM$195)</f>
        <v>39509.63</v>
      </c>
      <c r="H32" s="17" t="str">
        <f>_xlfn.XLOOKUP($A32,[5]industrial_water_withdrawal_per!$A$2:$A$179,[5]industrial_water_withdrawal_per!$BH$2:$BH$179 )</f>
        <v>37.09</v>
      </c>
      <c r="I32" s="17" t="str">
        <f>_xlfn.XLOOKUP($A32,[6]agricultural_water_withdrawal_p!$A$2:$A$180,[6]agricultural_water_withdrawal_p!$BH$2:$BH$180 )</f>
        <v>9.2394</v>
      </c>
      <c r="J32" s="17" t="str">
        <f>_xlfn.XLOOKUP($A32,[7]total_water_withdrawal_billion_!$A$2:$A$180, [7]total_water_withdrawal_billion_!$BK$2:$BK$180  )</f>
        <v>1.7328</v>
      </c>
      <c r="K32" s="17" t="str">
        <f>_xlfn.XLOOKUP($A32,[8]hydro_power_generation_total!$A$2:$A$119,[8]hydro_power_generation_total!$BA$2:$BA$119 )</f>
        <v>3101000</v>
      </c>
      <c r="L32" s="17" t="str">
        <f>_xlfn.XLOOKUP($A32,[9]ag_lnd_prcp_mm!$A$2:$A$182, [9]ag_lnd_prcp_mm!$BL$2:$BL$182)</f>
        <v>1537</v>
      </c>
      <c r="M32" s="17" t="str">
        <f>_xlfn.XLOOKUP($A32,[10]co2_pcap_cons!$A$2:$A$193, [10]co2_pcap_cons!$HQ$2:$HQ$193)</f>
        <v>11.644</v>
      </c>
      <c r="N32" s="17" t="str">
        <f>_xlfn.XLOOKUP($A32,[11]primary_forest_area_ha!$A$2:$A$193, [11]primary_forest_area_ha!$AD$2:$AD$193)</f>
        <v>40000</v>
      </c>
      <c r="O32" s="17" t="str">
        <f>_xlfn.XLOOKUP($A32,[12]en_mam_thrd_no!$A$2:$A$195,[12]en_mam_thrd_no!$G$2:$G$195)</f>
        <v>5</v>
      </c>
      <c r="P32" s="17" t="str">
        <f>_xlfn.XLOOKUP($A32,[13]en_fsh_thrd_no!$A$2:$A$195,[13]en_fsh_thrd_no!$G$2:$G$195)</f>
        <v>9</v>
      </c>
      <c r="Q32" s="17" t="str">
        <f>_xlfn.XLOOKUP($A32,[14]en_bir_thrd_no!$A$2:$A$195,[14]en_bir_thrd_no!$G$2:$G$195)</f>
        <v>10</v>
      </c>
      <c r="R32" s="17" t="str">
        <f>_xlfn.XLOOKUP($A32,[15]en_hpt_thrd_no!$A$2:$A$195,[15]en_hpt_thrd_no!$G$2:$G$195)</f>
        <v>20</v>
      </c>
      <c r="S32" s="17" t="str">
        <f>_xlfn.XLOOKUP($A32,[16]er_lnd_ptld_zs!$A$2:$A$194, [16]er_lnd_ptld_zs!$O$2:$O$194)</f>
        <v>12.5</v>
      </c>
      <c r="T32" s="17" t="e">
        <f>_xlfn.XLOOKUP($A32,[17]er_mrn_ptmr_zs!$A$2:$A$155,[17]er_mrn_ptmr_zs!$O$2:$O$155)</f>
        <v>#N/A</v>
      </c>
    </row>
    <row r="33" spans="1:20" x14ac:dyDescent="0.2">
      <c r="A33" t="s">
        <v>95</v>
      </c>
      <c r="B33" t="s">
        <v>96</v>
      </c>
      <c r="C33" s="18" t="str">
        <f>_xlfn.XLOOKUP(A33,[1]Tabelle1!$A$2:$A$196,[1]Tabelle1!$C$2:$C$196)</f>
        <v>americas</v>
      </c>
      <c r="D33" t="s">
        <v>97</v>
      </c>
      <c r="E33" s="17" t="str">
        <f>_xlfn.XLOOKUP(A33,[2]lex!$A$2:$A$195, [2]lex!$HU$2:$HU$195)</f>
        <v>81.3</v>
      </c>
      <c r="F33" s="17" t="str">
        <f>_xlfn.XLOOKUP(A33,[3]gdp_pcap!$A$2:$A$194,[3]gdp_pcap!$HT$2:$HT$194 )</f>
        <v>31425.36958</v>
      </c>
      <c r="G33" s="17" t="str">
        <f>_xlfn.XLOOKUP($A33,[4]ag_lnd_totl_k2!$A$2:$A$195, [4]ag_lnd_totl_k2!$BM$2:$BM$195)</f>
        <v>742831.64</v>
      </c>
      <c r="H33" s="17" t="str">
        <f>_xlfn.XLOOKUP($A33,[5]industrial_water_withdrawal_per!$A$2:$A$179,[5]industrial_water_withdrawal_per!$BH$2:$BH$179 )</f>
        <v>5.1282</v>
      </c>
      <c r="I33" s="17" t="str">
        <f>_xlfn.XLOOKUP($A33,[6]agricultural_water_withdrawal_p!$A$2:$A$180,[6]agricultural_water_withdrawal_p!$BH$2:$BH$180 )</f>
        <v>90.887</v>
      </c>
      <c r="J33" s="17" t="str">
        <f>_xlfn.XLOOKUP($A33,[7]total_water_withdrawal_billion_!$A$2:$A$180, [7]total_water_withdrawal_billion_!$BK$2:$BK$180  )</f>
        <v>32.37</v>
      </c>
      <c r="K33" s="17" t="str">
        <f>_xlfn.XLOOKUP($A33,[8]hydro_power_generation_total!$A$2:$A$119,[8]hydro_power_generation_total!$BA$2:$BA$119 )</f>
        <v>1867000</v>
      </c>
      <c r="L33" s="17" t="str">
        <f>_xlfn.XLOOKUP($A33,[9]ag_lnd_prcp_mm!$A$2:$A$182, [9]ag_lnd_prcp_mm!$BL$2:$BL$182)</f>
        <v>1522</v>
      </c>
      <c r="M33" s="17" t="str">
        <f>_xlfn.XLOOKUP($A33,[10]co2_pcap_cons!$A$2:$A$193, [10]co2_pcap_cons!$HQ$2:$HQ$193)</f>
        <v>4.544</v>
      </c>
      <c r="N33" s="17" t="str">
        <f>_xlfn.XLOOKUP($A33,[11]primary_forest_area_ha!$A$2:$A$193, [11]primary_forest_area_ha!$AD$2:$AD$193)</f>
        <v>5355000</v>
      </c>
      <c r="O33" s="17" t="str">
        <f>_xlfn.XLOOKUP($A33,[12]en_mam_thrd_no!$A$2:$A$195,[12]en_mam_thrd_no!$G$2:$G$195)</f>
        <v>18</v>
      </c>
      <c r="P33" s="17" t="str">
        <f>_xlfn.XLOOKUP($A33,[13]en_fsh_thrd_no!$A$2:$A$195,[13]en_fsh_thrd_no!$G$2:$G$195)</f>
        <v>41</v>
      </c>
      <c r="Q33" s="17" t="str">
        <f>_xlfn.XLOOKUP($A33,[14]en_bir_thrd_no!$A$2:$A$195,[14]en_bir_thrd_no!$G$2:$G$195)</f>
        <v>34</v>
      </c>
      <c r="R33" s="17" t="str">
        <f>_xlfn.XLOOKUP($A33,[15]en_hpt_thrd_no!$A$2:$A$195,[15]en_hpt_thrd_no!$G$2:$G$195)</f>
        <v>91</v>
      </c>
      <c r="S33" s="17" t="str">
        <f>_xlfn.XLOOKUP($A33,[16]er_lnd_ptld_zs!$A$2:$A$194, [16]er_lnd_ptld_zs!$O$2:$O$194)</f>
        <v>21.6</v>
      </c>
      <c r="T33" s="17" t="str">
        <f>_xlfn.XLOOKUP($A33,[17]er_mrn_ptmr_zs!$A$2:$A$155,[17]er_mrn_ptmr_zs!$O$2:$O$155)</f>
        <v>41.2</v>
      </c>
    </row>
    <row r="34" spans="1:20" x14ac:dyDescent="0.2">
      <c r="A34" t="s">
        <v>98</v>
      </c>
      <c r="B34" t="s">
        <v>99</v>
      </c>
      <c r="C34" s="18" t="str">
        <f>_xlfn.XLOOKUP(A34,[1]Tabelle1!$A$2:$A$196,[1]Tabelle1!$C$2:$C$196)</f>
        <v>asia</v>
      </c>
      <c r="D34" t="s">
        <v>100</v>
      </c>
      <c r="E34" s="17" t="str">
        <f>_xlfn.XLOOKUP(A34,[2]lex!$A$2:$A$195, [2]lex!$HU$2:$HU$195)</f>
        <v>81.13</v>
      </c>
      <c r="F34" s="17" t="str">
        <f>_xlfn.XLOOKUP(A34,[3]gdp_pcap!$A$2:$A$194,[3]gdp_pcap!$HT$2:$HT$194 )</f>
        <v>25504.91715</v>
      </c>
      <c r="G34" s="17" t="str">
        <f>_xlfn.XLOOKUP($A34,[4]ag_lnd_totl_k2!$A$2:$A$195, [4]ag_lnd_totl_k2!$BM$2:$BM$195)</f>
        <v>9388210</v>
      </c>
      <c r="H34" s="17" t="str">
        <f>_xlfn.XLOOKUP($A34,[5]industrial_water_withdrawal_per!$A$2:$A$179,[5]industrial_water_withdrawal_per!$BH$2:$BH$179 )</f>
        <v>17.726</v>
      </c>
      <c r="I34" s="17" t="str">
        <f>_xlfn.XLOOKUP($A34,[6]agricultural_water_withdrawal_p!$A$2:$A$180,[6]agricultural_water_withdrawal_p!$BH$2:$BH$180 )</f>
        <v>62.145</v>
      </c>
      <c r="J34" s="17" t="str">
        <f>_xlfn.XLOOKUP($A34,[7]total_water_withdrawal_billion_!$A$2:$A$180, [7]total_water_withdrawal_billion_!$BK$2:$BK$180  )</f>
        <v>581.29</v>
      </c>
      <c r="K34" s="17" t="str">
        <f>_xlfn.XLOOKUP($A34,[8]hydro_power_generation_total!$A$2:$A$119,[8]hydro_power_generation_total!$BA$2:$BA$119 )</f>
        <v>62100000</v>
      </c>
      <c r="L34" s="17" t="str">
        <f>_xlfn.XLOOKUP($A34,[9]ag_lnd_prcp_mm!$A$2:$A$182, [9]ag_lnd_prcp_mm!$BL$2:$BL$182)</f>
        <v>645</v>
      </c>
      <c r="M34" s="17" t="str">
        <f>_xlfn.XLOOKUP($A34,[10]co2_pcap_cons!$A$2:$A$193, [10]co2_pcap_cons!$HQ$2:$HQ$193)</f>
        <v>7.379</v>
      </c>
      <c r="N34" s="17" t="str">
        <f>_xlfn.XLOOKUP($A34,[11]primary_forest_area_ha!$A$2:$A$193, [11]primary_forest_area_ha!$AD$2:$AD$193)</f>
        <v>11632000</v>
      </c>
      <c r="O34" s="17" t="str">
        <f>_xlfn.XLOOKUP($A34,[12]en_mam_thrd_no!$A$2:$A$195,[12]en_mam_thrd_no!$G$2:$G$195)</f>
        <v>78</v>
      </c>
      <c r="P34" s="17" t="str">
        <f>_xlfn.XLOOKUP($A34,[13]en_fsh_thrd_no!$A$2:$A$195,[13]en_fsh_thrd_no!$G$2:$G$195)</f>
        <v>207</v>
      </c>
      <c r="Q34" s="17" t="str">
        <f>_xlfn.XLOOKUP($A34,[14]en_bir_thrd_no!$A$2:$A$195,[14]en_bir_thrd_no!$G$2:$G$195)</f>
        <v>94</v>
      </c>
      <c r="R34" s="17" t="str">
        <f>_xlfn.XLOOKUP($A34,[15]en_hpt_thrd_no!$A$2:$A$195,[15]en_hpt_thrd_no!$G$2:$G$195)</f>
        <v>713</v>
      </c>
      <c r="S34" s="17" t="str">
        <f>_xlfn.XLOOKUP($A34,[16]er_lnd_ptld_zs!$A$2:$A$194, [16]er_lnd_ptld_zs!$O$2:$O$194)</f>
        <v>15.6</v>
      </c>
      <c r="T34" s="17" t="str">
        <f>_xlfn.XLOOKUP($A34,[17]er_mrn_ptmr_zs!$A$2:$A$155,[17]er_mrn_ptmr_zs!$O$2:$O$155)</f>
        <v>4.8</v>
      </c>
    </row>
    <row r="35" spans="1:20" x14ac:dyDescent="0.2">
      <c r="A35" t="s">
        <v>101</v>
      </c>
      <c r="B35" t="s">
        <v>102</v>
      </c>
      <c r="C35" s="18" t="str">
        <f>_xlfn.XLOOKUP(A35,[1]Tabelle1!$A$2:$A$196,[1]Tabelle1!$C$2:$C$196)</f>
        <v>africa</v>
      </c>
      <c r="D35" t="s">
        <v>103</v>
      </c>
      <c r="E35" s="17" t="str">
        <f>_xlfn.XLOOKUP(A35,[2]lex!$A$2:$A$195, [2]lex!$HU$2:$HU$195)</f>
        <v>64.82</v>
      </c>
      <c r="F35" s="17" t="str">
        <f>_xlfn.XLOOKUP(A35,[3]gdp_pcap!$A$2:$A$194,[3]gdp_pcap!$HT$2:$HT$194 )</f>
        <v>7143.2159</v>
      </c>
      <c r="G35" s="17" t="str">
        <f>_xlfn.XLOOKUP($A35,[4]ag_lnd_totl_k2!$A$2:$A$195, [4]ag_lnd_totl_k2!$BM$2:$BM$195)</f>
        <v>318000</v>
      </c>
      <c r="H35" s="17" t="str">
        <f>_xlfn.XLOOKUP($A35,[5]industrial_water_withdrawal_per!$A$2:$A$179,[5]industrial_water_withdrawal_per!$BH$2:$BH$179 )</f>
        <v>20.826</v>
      </c>
      <c r="I35" s="17" t="str">
        <f>_xlfn.XLOOKUP($A35,[6]agricultural_water_withdrawal_p!$A$2:$A$180,[6]agricultural_water_withdrawal_p!$BH$2:$BH$180 )</f>
        <v>51.635</v>
      </c>
      <c r="J35" s="17" t="str">
        <f>_xlfn.XLOOKUP($A35,[7]total_water_withdrawal_billion_!$A$2:$A$180, [7]total_water_withdrawal_billion_!$BK$2:$BK$180  )</f>
        <v>1.162</v>
      </c>
      <c r="K35" s="17" t="str">
        <f>_xlfn.XLOOKUP($A35,[8]hydro_power_generation_total!$A$2:$A$119,[8]hydro_power_generation_total!$BA$2:$BA$119 )</f>
        <v>139100</v>
      </c>
      <c r="L35" s="17" t="str">
        <f>_xlfn.XLOOKUP($A35,[9]ag_lnd_prcp_mm!$A$2:$A$182, [9]ag_lnd_prcp_mm!$BL$2:$BL$182)</f>
        <v>1348</v>
      </c>
      <c r="M35" s="17" t="str">
        <f>_xlfn.XLOOKUP($A35,[10]co2_pcap_cons!$A$2:$A$193, [10]co2_pcap_cons!$HQ$2:$HQ$193)</f>
        <v>0.596</v>
      </c>
      <c r="N35" s="17" t="str">
        <f>_xlfn.XLOOKUP($A35,[11]primary_forest_area_ha!$A$2:$A$193, [11]primary_forest_area_ha!$AD$2:$AD$193)</f>
        <v>625000</v>
      </c>
      <c r="O35" s="17" t="str">
        <f>_xlfn.XLOOKUP($A35,[12]en_mam_thrd_no!$A$2:$A$195,[12]en_mam_thrd_no!$G$2:$G$195)</f>
        <v>34</v>
      </c>
      <c r="P35" s="17" t="str">
        <f>_xlfn.XLOOKUP($A35,[13]en_fsh_thrd_no!$A$2:$A$195,[13]en_fsh_thrd_no!$G$2:$G$195)</f>
        <v>89</v>
      </c>
      <c r="Q35" s="17" t="str">
        <f>_xlfn.XLOOKUP($A35,[14]en_bir_thrd_no!$A$2:$A$195,[14]en_bir_thrd_no!$G$2:$G$195)</f>
        <v>26</v>
      </c>
      <c r="R35" s="17" t="str">
        <f>_xlfn.XLOOKUP($A35,[15]en_hpt_thrd_no!$A$2:$A$195,[15]en_hpt_thrd_no!$G$2:$G$195)</f>
        <v>159</v>
      </c>
      <c r="S35" s="17" t="str">
        <f>_xlfn.XLOOKUP($A35,[16]er_lnd_ptld_zs!$A$2:$A$194, [16]er_lnd_ptld_zs!$O$2:$O$194)</f>
        <v>22.9</v>
      </c>
      <c r="T35" s="17" t="str">
        <f>_xlfn.XLOOKUP($A35,[17]er_mrn_ptmr_zs!$A$2:$A$155,[17]er_mrn_ptmr_zs!$O$2:$O$155)</f>
        <v>0.2</v>
      </c>
    </row>
    <row r="36" spans="1:20" x14ac:dyDescent="0.2">
      <c r="A36" t="s">
        <v>104</v>
      </c>
      <c r="B36" t="s">
        <v>105</v>
      </c>
      <c r="C36" s="18" t="str">
        <f>_xlfn.XLOOKUP(A36,[1]Tabelle1!$A$2:$A$196,[1]Tabelle1!$C$2:$C$196)</f>
        <v>africa</v>
      </c>
      <c r="D36" t="s">
        <v>106</v>
      </c>
      <c r="E36" s="17" t="str">
        <f>_xlfn.XLOOKUP(A36,[2]lex!$A$2:$A$195, [2]lex!$HU$2:$HU$195)</f>
        <v>62.78</v>
      </c>
      <c r="F36" s="17" t="str">
        <f>_xlfn.XLOOKUP(A36,[3]gdp_pcap!$A$2:$A$194,[3]gdp_pcap!$HT$2:$HT$194 )</f>
        <v>5107.23253</v>
      </c>
      <c r="G36" s="17" t="str">
        <f>_xlfn.XLOOKUP($A36,[4]ag_lnd_totl_k2!$A$2:$A$195, [4]ag_lnd_totl_k2!$BM$2:$BM$195)</f>
        <v>472710</v>
      </c>
      <c r="H36" s="17" t="str">
        <f>_xlfn.XLOOKUP($A36,[5]industrial_water_withdrawal_per!$A$2:$A$179,[5]industrial_water_withdrawal_per!$BH$2:$BH$179 )</f>
        <v>9.6104</v>
      </c>
      <c r="I36" s="17" t="str">
        <f>_xlfn.XLOOKUP($A36,[6]agricultural_water_withdrawal_p!$A$2:$A$180,[6]agricultural_water_withdrawal_p!$BH$2:$BH$180 )</f>
        <v>67.714</v>
      </c>
      <c r="J36" s="17" t="str">
        <f>_xlfn.XLOOKUP($A36,[7]total_water_withdrawal_billion_!$A$2:$A$180, [7]total_water_withdrawal_billion_!$BK$2:$BK$180  )</f>
        <v>1.0884</v>
      </c>
      <c r="K36" s="17" t="str">
        <f>_xlfn.XLOOKUP($A36,[8]hydro_power_generation_total!$A$2:$A$119,[8]hydro_power_generation_total!$BA$2:$BA$119 )</f>
        <v>366300</v>
      </c>
      <c r="L36" s="17" t="str">
        <f>_xlfn.XLOOKUP($A36,[9]ag_lnd_prcp_mm!$A$2:$A$182, [9]ag_lnd_prcp_mm!$BL$2:$BL$182)</f>
        <v>1604</v>
      </c>
      <c r="M36" s="17" t="str">
        <f>_xlfn.XLOOKUP($A36,[10]co2_pcap_cons!$A$2:$A$193, [10]co2_pcap_cons!$HQ$2:$HQ$193)</f>
        <v>0.408</v>
      </c>
      <c r="N36" s="17">
        <f>_xlfn.XLOOKUP($A36,[11]primary_forest_area_ha!$A$2:$A$193, [11]primary_forest_area_ha!$AD$2:$AD$193)</f>
        <v>0</v>
      </c>
      <c r="O36" s="17" t="str">
        <f>_xlfn.XLOOKUP($A36,[12]en_mam_thrd_no!$A$2:$A$195,[12]en_mam_thrd_no!$G$2:$G$195)</f>
        <v>48</v>
      </c>
      <c r="P36" s="17" t="str">
        <f>_xlfn.XLOOKUP($A36,[13]en_fsh_thrd_no!$A$2:$A$195,[13]en_fsh_thrd_no!$G$2:$G$195)</f>
        <v>148</v>
      </c>
      <c r="Q36" s="17" t="str">
        <f>_xlfn.XLOOKUP($A36,[14]en_bir_thrd_no!$A$2:$A$195,[14]en_bir_thrd_no!$G$2:$G$195)</f>
        <v>31</v>
      </c>
      <c r="R36" s="17" t="str">
        <f>_xlfn.XLOOKUP($A36,[15]en_hpt_thrd_no!$A$2:$A$195,[15]en_hpt_thrd_no!$G$2:$G$195)</f>
        <v>888</v>
      </c>
      <c r="S36" s="17" t="str">
        <f>_xlfn.XLOOKUP($A36,[16]er_lnd_ptld_zs!$A$2:$A$194, [16]er_lnd_ptld_zs!$O$2:$O$194)</f>
        <v>11</v>
      </c>
      <c r="T36" s="17" t="str">
        <f>_xlfn.XLOOKUP($A36,[17]er_mrn_ptmr_zs!$A$2:$A$155,[17]er_mrn_ptmr_zs!$O$2:$O$155)</f>
        <v>11.4</v>
      </c>
    </row>
    <row r="37" spans="1:20" x14ac:dyDescent="0.2">
      <c r="A37" t="s">
        <v>107</v>
      </c>
      <c r="B37" t="s">
        <v>108</v>
      </c>
      <c r="C37" s="18" t="str">
        <f>_xlfn.XLOOKUP(A37,[1]Tabelle1!$A$2:$A$196,[1]Tabelle1!$C$2:$C$196)</f>
        <v>africa</v>
      </c>
      <c r="D37" t="s">
        <v>109</v>
      </c>
      <c r="E37" s="17" t="str">
        <f>_xlfn.XLOOKUP(A37,[2]lex!$A$2:$A$195, [2]lex!$HU$2:$HU$195)</f>
        <v>61.8</v>
      </c>
      <c r="F37" s="17" t="str">
        <f>_xlfn.XLOOKUP(A37,[3]gdp_pcap!$A$2:$A$194,[3]gdp_pcap!$HT$2:$HT$194 )</f>
        <v>1565.63762</v>
      </c>
      <c r="G37" s="17" t="str">
        <f>_xlfn.XLOOKUP($A37,[4]ag_lnd_totl_k2!$A$2:$A$195, [4]ag_lnd_totl_k2!$BM$2:$BM$195)</f>
        <v>2267050</v>
      </c>
      <c r="H37" s="17" t="str">
        <f>_xlfn.XLOOKUP($A37,[5]industrial_water_withdrawal_per!$A$2:$A$179,[5]industrial_water_withdrawal_per!$BH$2:$BH$179 )</f>
        <v>21.475</v>
      </c>
      <c r="I37" s="17" t="str">
        <f>_xlfn.XLOOKUP($A37,[6]agricultural_water_withdrawal_p!$A$2:$A$180,[6]agricultural_water_withdrawal_p!$BH$2:$BH$180 )</f>
        <v>10.518</v>
      </c>
      <c r="J37" s="17" t="str">
        <f>_xlfn.XLOOKUP($A37,[7]total_water_withdrawal_billion_!$A$2:$A$180, [7]total_water_withdrawal_billion_!$BK$2:$BK$180  )</f>
        <v>0.6836</v>
      </c>
      <c r="K37" s="17" t="str">
        <f>_xlfn.XLOOKUP($A37,[8]hydro_power_generation_total!$A$2:$A$119,[8]hydro_power_generation_total!$BA$2:$BA$119 )</f>
        <v>674900</v>
      </c>
      <c r="L37" s="17" t="str">
        <f>_xlfn.XLOOKUP($A37,[9]ag_lnd_prcp_mm!$A$2:$A$182, [9]ag_lnd_prcp_mm!$BL$2:$BL$182)</f>
        <v>1543</v>
      </c>
      <c r="M37" s="17" t="str">
        <f>_xlfn.XLOOKUP($A37,[10]co2_pcap_cons!$A$2:$A$193, [10]co2_pcap_cons!$HQ$2:$HQ$193)</f>
        <v>0.026</v>
      </c>
      <c r="N37" s="17" t="str">
        <f>_xlfn.XLOOKUP($A37,[11]primary_forest_area_ha!$A$2:$A$193, [11]primary_forest_area_ha!$AD$2:$AD$193)</f>
        <v>102686000</v>
      </c>
      <c r="O37" s="17" t="str">
        <f>_xlfn.XLOOKUP($A37,[12]en_mam_thrd_no!$A$2:$A$195,[12]en_mam_thrd_no!$G$2:$G$195)</f>
        <v>48</v>
      </c>
      <c r="P37" s="17" t="str">
        <f>_xlfn.XLOOKUP($A37,[13]en_fsh_thrd_no!$A$2:$A$195,[13]en_fsh_thrd_no!$G$2:$G$195)</f>
        <v>128</v>
      </c>
      <c r="Q37" s="17" t="str">
        <f>_xlfn.XLOOKUP($A37,[14]en_bir_thrd_no!$A$2:$A$195,[14]en_bir_thrd_no!$G$2:$G$195)</f>
        <v>40</v>
      </c>
      <c r="R37" s="17" t="str">
        <f>_xlfn.XLOOKUP($A37,[15]en_hpt_thrd_no!$A$2:$A$195,[15]en_hpt_thrd_no!$G$2:$G$195)</f>
        <v>440</v>
      </c>
      <c r="S37" s="17" t="str">
        <f>_xlfn.XLOOKUP($A37,[16]er_lnd_ptld_zs!$A$2:$A$194, [16]er_lnd_ptld_zs!$O$2:$O$194)</f>
        <v>14.9</v>
      </c>
      <c r="T37" s="17" t="str">
        <f>_xlfn.XLOOKUP($A37,[17]er_mrn_ptmr_zs!$A$2:$A$155,[17]er_mrn_ptmr_zs!$O$2:$O$155)</f>
        <v>0.5</v>
      </c>
    </row>
    <row r="38" spans="1:20" x14ac:dyDescent="0.2">
      <c r="A38" t="s">
        <v>110</v>
      </c>
      <c r="B38" t="s">
        <v>111</v>
      </c>
      <c r="C38" s="18" t="str">
        <f>_xlfn.XLOOKUP(A38,[1]Tabelle1!$A$2:$A$196,[1]Tabelle1!$C$2:$C$196)</f>
        <v>africa</v>
      </c>
      <c r="D38" t="s">
        <v>112</v>
      </c>
      <c r="E38" s="17" t="str">
        <f>_xlfn.XLOOKUP(A38,[2]lex!$A$2:$A$195, [2]lex!$HU$2:$HU$195)</f>
        <v>64.28</v>
      </c>
      <c r="F38" s="17" t="str">
        <f>_xlfn.XLOOKUP(A38,[3]gdp_pcap!$A$2:$A$194,[3]gdp_pcap!$HT$2:$HT$194 )</f>
        <v>6377.20603</v>
      </c>
      <c r="G38" s="17" t="str">
        <f>_xlfn.XLOOKUP($A38,[4]ag_lnd_totl_k2!$A$2:$A$195, [4]ag_lnd_totl_k2!$BM$2:$BM$195)</f>
        <v>341500</v>
      </c>
      <c r="H38" s="17" t="str">
        <f>_xlfn.XLOOKUP($A38,[5]industrial_water_withdrawal_per!$A$2:$A$179,[5]industrial_water_withdrawal_per!$BH$2:$BH$179 )</f>
        <v>26.172</v>
      </c>
      <c r="I38" s="17" t="str">
        <f>_xlfn.XLOOKUP($A38,[6]agricultural_water_withdrawal_p!$A$2:$A$180,[6]agricultural_water_withdrawal_p!$BH$2:$BH$180 )</f>
        <v>4.3621</v>
      </c>
      <c r="J38" s="17" t="str">
        <f>_xlfn.XLOOKUP($A38,[7]total_water_withdrawal_billion_!$A$2:$A$180, [7]total_water_withdrawal_billion_!$BK$2:$BK$180  )</f>
        <v>0.0917</v>
      </c>
      <c r="K38" s="17" t="str">
        <f>_xlfn.XLOOKUP($A38,[8]hydro_power_generation_total!$A$2:$A$119,[8]hydro_power_generation_total!$BA$2:$BA$119 )</f>
        <v>36970</v>
      </c>
      <c r="L38" s="17" t="str">
        <f>_xlfn.XLOOKUP($A38,[9]ag_lnd_prcp_mm!$A$2:$A$182, [9]ag_lnd_prcp_mm!$BL$2:$BL$182)</f>
        <v>1646</v>
      </c>
      <c r="M38" s="17" t="str">
        <f>_xlfn.XLOOKUP($A38,[10]co2_pcap_cons!$A$2:$A$193, [10]co2_pcap_cons!$HQ$2:$HQ$193)</f>
        <v>0.674</v>
      </c>
      <c r="N38" s="17" t="str">
        <f>_xlfn.XLOOKUP($A38,[11]primary_forest_area_ha!$A$2:$A$193, [11]primary_forest_area_ha!$AD$2:$AD$193)</f>
        <v>7407000</v>
      </c>
      <c r="O38" s="17" t="str">
        <f>_xlfn.XLOOKUP($A38,[12]en_mam_thrd_no!$A$2:$A$195,[12]en_mam_thrd_no!$G$2:$G$195)</f>
        <v>18</v>
      </c>
      <c r="P38" s="17" t="str">
        <f>_xlfn.XLOOKUP($A38,[13]en_fsh_thrd_no!$A$2:$A$195,[13]en_fsh_thrd_no!$G$2:$G$195)</f>
        <v>83</v>
      </c>
      <c r="Q38" s="17" t="str">
        <f>_xlfn.XLOOKUP($A38,[14]en_bir_thrd_no!$A$2:$A$195,[14]en_bir_thrd_no!$G$2:$G$195)</f>
        <v>6</v>
      </c>
      <c r="R38" s="17" t="str">
        <f>_xlfn.XLOOKUP($A38,[15]en_hpt_thrd_no!$A$2:$A$195,[15]en_hpt_thrd_no!$G$2:$G$195)</f>
        <v>111</v>
      </c>
      <c r="S38" s="17" t="str">
        <f>_xlfn.XLOOKUP($A38,[16]er_lnd_ptld_zs!$A$2:$A$194, [16]er_lnd_ptld_zs!$O$2:$O$194)</f>
        <v>36.6</v>
      </c>
      <c r="T38" s="17" t="str">
        <f>_xlfn.XLOOKUP($A38,[17]er_mrn_ptmr_zs!$A$2:$A$155,[17]er_mrn_ptmr_zs!$O$2:$O$155)</f>
        <v>14.1</v>
      </c>
    </row>
    <row r="39" spans="1:20" x14ac:dyDescent="0.2">
      <c r="A39" t="s">
        <v>113</v>
      </c>
      <c r="B39" t="s">
        <v>114</v>
      </c>
      <c r="C39" s="18" t="str">
        <f>_xlfn.XLOOKUP(A39,[1]Tabelle1!$A$2:$A$196,[1]Tabelle1!$C$2:$C$196)</f>
        <v>americas</v>
      </c>
      <c r="D39" t="s">
        <v>115</v>
      </c>
      <c r="E39" s="17" t="str">
        <f>_xlfn.XLOOKUP(A39,[2]lex!$A$2:$A$195, [2]lex!$HU$2:$HU$195)</f>
        <v>80.72</v>
      </c>
      <c r="F39" s="17" t="str">
        <f>_xlfn.XLOOKUP(A39,[3]gdp_pcap!$A$2:$A$194,[3]gdp_pcap!$HT$2:$HT$194 )</f>
        <v>19301.99344</v>
      </c>
      <c r="G39" s="17" t="str">
        <f>_xlfn.XLOOKUP($A39,[4]ag_lnd_totl_k2!$A$2:$A$195, [4]ag_lnd_totl_k2!$BM$2:$BM$195)</f>
        <v>1109500</v>
      </c>
      <c r="H39" s="17" t="str">
        <f>_xlfn.XLOOKUP($A39,[5]industrial_water_withdrawal_per!$A$2:$A$179,[5]industrial_water_withdrawal_per!$BH$2:$BH$179 )</f>
        <v>4.1491</v>
      </c>
      <c r="I39" s="17" t="str">
        <f>_xlfn.XLOOKUP($A39,[6]agricultural_water_withdrawal_p!$A$2:$A$180,[6]agricultural_water_withdrawal_p!$BH$2:$BH$180 )</f>
        <v>82.174</v>
      </c>
      <c r="J39" s="17" t="str">
        <f>_xlfn.XLOOKUP($A39,[7]total_water_withdrawal_billion_!$A$2:$A$180, [7]total_water_withdrawal_billion_!$BK$2:$BK$180  )</f>
        <v>24.898</v>
      </c>
      <c r="K39" s="17" t="str">
        <f>_xlfn.XLOOKUP($A39,[8]hydro_power_generation_total!$A$2:$A$119,[8]hydro_power_generation_total!$BA$2:$BA$119 )</f>
        <v>3474000</v>
      </c>
      <c r="L39" s="17" t="str">
        <f>_xlfn.XLOOKUP($A39,[9]ag_lnd_prcp_mm!$A$2:$A$182, [9]ag_lnd_prcp_mm!$BL$2:$BL$182)</f>
        <v>3240</v>
      </c>
      <c r="M39" s="17" t="str">
        <f>_xlfn.XLOOKUP($A39,[10]co2_pcap_cons!$A$2:$A$193, [10]co2_pcap_cons!$HQ$2:$HQ$193)</f>
        <v>2.389</v>
      </c>
      <c r="N39" s="17">
        <f>_xlfn.XLOOKUP($A39,[11]primary_forest_area_ha!$A$2:$A$193, [11]primary_forest_area_ha!$AD$2:$AD$193)</f>
        <v>0</v>
      </c>
      <c r="O39" s="17" t="str">
        <f>_xlfn.XLOOKUP($A39,[12]en_mam_thrd_no!$A$2:$A$195,[12]en_mam_thrd_no!$G$2:$G$195)</f>
        <v>63</v>
      </c>
      <c r="P39" s="17" t="str">
        <f>_xlfn.XLOOKUP($A39,[13]en_fsh_thrd_no!$A$2:$A$195,[13]en_fsh_thrd_no!$G$2:$G$195)</f>
        <v>183</v>
      </c>
      <c r="Q39" s="17" t="str">
        <f>_xlfn.XLOOKUP($A39,[14]en_bir_thrd_no!$A$2:$A$195,[14]en_bir_thrd_no!$G$2:$G$195)</f>
        <v>102</v>
      </c>
      <c r="R39" s="17" t="str">
        <f>_xlfn.XLOOKUP($A39,[15]en_hpt_thrd_no!$A$2:$A$195,[15]en_hpt_thrd_no!$G$2:$G$195)</f>
        <v>918</v>
      </c>
      <c r="S39" s="17" t="str">
        <f>_xlfn.XLOOKUP($A39,[16]er_lnd_ptld_zs!$A$2:$A$194, [16]er_lnd_ptld_zs!$O$2:$O$194)</f>
        <v>17.2</v>
      </c>
      <c r="T39" s="17" t="str">
        <f>_xlfn.XLOOKUP($A39,[17]er_mrn_ptmr_zs!$A$2:$A$155,[17]er_mrn_ptmr_zs!$O$2:$O$155)</f>
        <v>41.1</v>
      </c>
    </row>
    <row r="40" spans="1:20" x14ac:dyDescent="0.2">
      <c r="A40" t="s">
        <v>116</v>
      </c>
      <c r="B40" t="s">
        <v>117</v>
      </c>
      <c r="C40" s="18" t="str">
        <f>_xlfn.XLOOKUP(A40,[1]Tabelle1!$A$2:$A$196,[1]Tabelle1!$C$2:$C$196)</f>
        <v>africa</v>
      </c>
      <c r="D40" t="s">
        <v>118</v>
      </c>
      <c r="E40" s="17" t="str">
        <f>_xlfn.XLOOKUP(A40,[2]lex!$A$2:$A$195, [2]lex!$HU$2:$HU$195)</f>
        <v>77.1</v>
      </c>
      <c r="F40" s="17" t="str">
        <f>_xlfn.XLOOKUP(A40,[3]gdp_pcap!$A$2:$A$194,[3]gdp_pcap!$HT$2:$HT$194 )</f>
        <v>3717.61456</v>
      </c>
      <c r="G40" s="17" t="str">
        <f>_xlfn.XLOOKUP($A40,[4]ag_lnd_totl_k2!$A$2:$A$195, [4]ag_lnd_totl_k2!$BM$2:$BM$195)</f>
        <v>1861</v>
      </c>
      <c r="H40" s="17" t="str">
        <f>_xlfn.XLOOKUP($A40,[5]industrial_water_withdrawal_per!$A$2:$A$179,[5]industrial_water_withdrawal_per!$BH$2:$BH$179 )</f>
        <v>5</v>
      </c>
      <c r="I40" s="17" t="str">
        <f>_xlfn.XLOOKUP($A40,[6]agricultural_water_withdrawal_p!$A$2:$A$180,[6]agricultural_water_withdrawal_p!$BH$2:$BH$180 )</f>
        <v>47</v>
      </c>
      <c r="J40" s="17" t="str">
        <f>_xlfn.XLOOKUP($A40,[7]total_water_withdrawal_billion_!$A$2:$A$180, [7]total_water_withdrawal_billion_!$BK$2:$BK$180  )</f>
        <v>0.01</v>
      </c>
      <c r="K40" s="17" t="e">
        <f>_xlfn.XLOOKUP($A40,[8]hydro_power_generation_total!$A$2:$A$119,[8]hydro_power_generation_total!$BA$2:$BA$119 )</f>
        <v>#N/A</v>
      </c>
      <c r="L40" s="17" t="str">
        <f>_xlfn.XLOOKUP($A40,[9]ag_lnd_prcp_mm!$A$2:$A$182, [9]ag_lnd_prcp_mm!$BL$2:$BL$182)</f>
        <v>900</v>
      </c>
      <c r="M40" s="17" t="str">
        <f>_xlfn.XLOOKUP($A40,[10]co2_pcap_cons!$A$2:$A$193, [10]co2_pcap_cons!$HQ$2:$HQ$193)</f>
        <v>0.287</v>
      </c>
      <c r="N40" s="17" t="str">
        <f>_xlfn.XLOOKUP($A40,[11]primary_forest_area_ha!$A$2:$A$193, [11]primary_forest_area_ha!$AD$2:$AD$193)</f>
        <v>8000</v>
      </c>
      <c r="O40" s="17" t="str">
        <f>_xlfn.XLOOKUP($A40,[12]en_mam_thrd_no!$A$2:$A$195,[12]en_mam_thrd_no!$G$2:$G$195)</f>
        <v>6</v>
      </c>
      <c r="P40" s="17" t="str">
        <f>_xlfn.XLOOKUP($A40,[13]en_fsh_thrd_no!$A$2:$A$195,[13]en_fsh_thrd_no!$G$2:$G$195)</f>
        <v>24</v>
      </c>
      <c r="Q40" s="17" t="str">
        <f>_xlfn.XLOOKUP($A40,[14]en_bir_thrd_no!$A$2:$A$195,[14]en_bir_thrd_no!$G$2:$G$195)</f>
        <v>13</v>
      </c>
      <c r="R40" s="17" t="str">
        <f>_xlfn.XLOOKUP($A40,[15]en_hpt_thrd_no!$A$2:$A$195,[15]en_hpt_thrd_no!$G$2:$G$195)</f>
        <v>15</v>
      </c>
      <c r="S40" s="17" t="str">
        <f>_xlfn.XLOOKUP($A40,[16]er_lnd_ptld_zs!$A$2:$A$194, [16]er_lnd_ptld_zs!$O$2:$O$194)</f>
        <v>33.7</v>
      </c>
      <c r="T40" s="17" t="str">
        <f>_xlfn.XLOOKUP($A40,[17]er_mrn_ptmr_zs!$A$2:$A$155,[17]er_mrn_ptmr_zs!$O$2:$O$155)</f>
        <v>0.4</v>
      </c>
    </row>
    <row r="41" spans="1:20" x14ac:dyDescent="0.2">
      <c r="A41" t="s">
        <v>119</v>
      </c>
      <c r="B41" t="s">
        <v>120</v>
      </c>
      <c r="C41" s="18" t="str">
        <f>_xlfn.XLOOKUP(A41,[1]Tabelle1!$A$2:$A$196,[1]Tabelle1!$C$2:$C$196)</f>
        <v>africa</v>
      </c>
      <c r="D41" t="s">
        <v>121</v>
      </c>
      <c r="E41" s="17" t="str">
        <f>_xlfn.XLOOKUP(A41,[2]lex!$A$2:$A$195, [2]lex!$HU$2:$HU$195)</f>
        <v>76.2</v>
      </c>
      <c r="F41" s="17" t="str">
        <f>_xlfn.XLOOKUP(A41,[3]gdp_pcap!$A$2:$A$194,[3]gdp_pcap!$HT$2:$HT$194 )</f>
        <v>10625.35184</v>
      </c>
      <c r="G41" s="17" t="str">
        <f>_xlfn.XLOOKUP($A41,[4]ag_lnd_totl_k2!$A$2:$A$195, [4]ag_lnd_totl_k2!$BM$2:$BM$195)</f>
        <v>4030</v>
      </c>
      <c r="H41" s="17" t="str">
        <f>_xlfn.XLOOKUP($A41,[5]industrial_water_withdrawal_per!$A$2:$A$179,[5]industrial_water_withdrawal_per!$BH$2:$BH$179 )</f>
        <v>2.1206</v>
      </c>
      <c r="I41" s="17" t="str">
        <f>_xlfn.XLOOKUP($A41,[6]agricultural_water_withdrawal_p!$A$2:$A$180,[6]agricultural_water_withdrawal_p!$BH$2:$BH$180 )</f>
        <v>38.99</v>
      </c>
      <c r="J41" s="17" t="str">
        <f>_xlfn.XLOOKUP($A41,[7]total_water_withdrawal_billion_!$A$2:$A$180, [7]total_water_withdrawal_billion_!$BK$2:$BK$180  )</f>
        <v>0.26473</v>
      </c>
      <c r="K41" s="17" t="e">
        <f>_xlfn.XLOOKUP($A41,[8]hydro_power_generation_total!$A$2:$A$119,[8]hydro_power_generation_total!$BA$2:$BA$119 )</f>
        <v>#N/A</v>
      </c>
      <c r="L41" s="17" t="str">
        <f>_xlfn.XLOOKUP($A41,[9]ag_lnd_prcp_mm!$A$2:$A$182, [9]ag_lnd_prcp_mm!$BL$2:$BL$182)</f>
        <v>228</v>
      </c>
      <c r="M41" s="17" t="str">
        <f>_xlfn.XLOOKUP($A41,[10]co2_pcap_cons!$A$2:$A$193, [10]co2_pcap_cons!$HQ$2:$HQ$193)</f>
        <v>1.263</v>
      </c>
      <c r="N41" s="17">
        <f>_xlfn.XLOOKUP($A41,[11]primary_forest_area_ha!$A$2:$A$193, [11]primary_forest_area_ha!$AD$2:$AD$193)</f>
        <v>0</v>
      </c>
      <c r="O41" s="17" t="str">
        <f>_xlfn.XLOOKUP($A41,[12]en_mam_thrd_no!$A$2:$A$195,[12]en_mam_thrd_no!$G$2:$G$195)</f>
        <v>4</v>
      </c>
      <c r="P41" s="17" t="str">
        <f>_xlfn.XLOOKUP($A41,[13]en_fsh_thrd_no!$A$2:$A$195,[13]en_fsh_thrd_no!$G$2:$G$195)</f>
        <v>47</v>
      </c>
      <c r="Q41" s="17" t="str">
        <f>_xlfn.XLOOKUP($A41,[14]en_bir_thrd_no!$A$2:$A$195,[14]en_bir_thrd_no!$G$2:$G$195)</f>
        <v>7</v>
      </c>
      <c r="R41" s="17" t="str">
        <f>_xlfn.XLOOKUP($A41,[15]en_hpt_thrd_no!$A$2:$A$195,[15]en_hpt_thrd_no!$G$2:$G$195)</f>
        <v>51</v>
      </c>
      <c r="S41" s="17" t="str">
        <f>_xlfn.XLOOKUP($A41,[16]er_lnd_ptld_zs!$A$2:$A$194, [16]er_lnd_ptld_zs!$O$2:$O$194)</f>
        <v>17.6</v>
      </c>
      <c r="T41" s="17" t="str">
        <f>_xlfn.XLOOKUP($A41,[17]er_mrn_ptmr_zs!$A$2:$A$155,[17]er_mrn_ptmr_zs!$O$2:$O$155)</f>
        <v>0.1</v>
      </c>
    </row>
    <row r="42" spans="1:20" x14ac:dyDescent="0.2">
      <c r="A42" t="s">
        <v>122</v>
      </c>
      <c r="B42" t="s">
        <v>123</v>
      </c>
      <c r="C42" s="18" t="str">
        <f>_xlfn.XLOOKUP(A42,[1]Tabelle1!$A$2:$A$196,[1]Tabelle1!$C$2:$C$196)</f>
        <v>americas</v>
      </c>
      <c r="D42" t="s">
        <v>124</v>
      </c>
      <c r="E42" s="17" t="str">
        <f>_xlfn.XLOOKUP(A42,[2]lex!$A$2:$A$195, [2]lex!$HU$2:$HU$195)</f>
        <v>79.99</v>
      </c>
      <c r="F42" s="17" t="str">
        <f>_xlfn.XLOOKUP(A42,[3]gdp_pcap!$A$2:$A$194,[3]gdp_pcap!$HT$2:$HT$194 )</f>
        <v>28390.39988</v>
      </c>
      <c r="G42" s="17" t="str">
        <f>_xlfn.XLOOKUP($A42,[4]ag_lnd_totl_k2!$A$2:$A$195, [4]ag_lnd_totl_k2!$BM$2:$BM$195)</f>
        <v>51060</v>
      </c>
      <c r="H42" s="17" t="str">
        <f>_xlfn.XLOOKUP($A42,[5]industrial_water_withdrawal_per!$A$2:$A$179,[5]industrial_water_withdrawal_per!$BH$2:$BH$179 )</f>
        <v>7.1178</v>
      </c>
      <c r="I42" s="17" t="str">
        <f>_xlfn.XLOOKUP($A42,[6]agricultural_water_withdrawal_p!$A$2:$A$180,[6]agricultural_water_withdrawal_p!$BH$2:$BH$180 )</f>
        <v>60.719</v>
      </c>
      <c r="J42" s="17" t="str">
        <f>_xlfn.XLOOKUP($A42,[7]total_water_withdrawal_billion_!$A$2:$A$180, [7]total_water_withdrawal_billion_!$BK$2:$BK$180  )</f>
        <v>3.4468</v>
      </c>
      <c r="K42" s="17" t="str">
        <f>_xlfn.XLOOKUP($A42,[8]hydro_power_generation_total!$A$2:$A$119,[8]hydro_power_generation_total!$BA$2:$BA$119 )</f>
        <v>624500</v>
      </c>
      <c r="L42" s="17" t="str">
        <f>_xlfn.XLOOKUP($A42,[9]ag_lnd_prcp_mm!$A$2:$A$182, [9]ag_lnd_prcp_mm!$BL$2:$BL$182)</f>
        <v>2926</v>
      </c>
      <c r="M42" s="17" t="str">
        <f>_xlfn.XLOOKUP($A42,[10]co2_pcap_cons!$A$2:$A$193, [10]co2_pcap_cons!$HQ$2:$HQ$193)</f>
        <v>2.383</v>
      </c>
      <c r="N42" s="17" t="str">
        <f>_xlfn.XLOOKUP($A42,[11]primary_forest_area_ha!$A$2:$A$193, [11]primary_forest_area_ha!$AD$2:$AD$193)</f>
        <v>1814400</v>
      </c>
      <c r="O42" s="17" t="str">
        <f>_xlfn.XLOOKUP($A42,[12]en_mam_thrd_no!$A$2:$A$195,[12]en_mam_thrd_no!$G$2:$G$195)</f>
        <v>12</v>
      </c>
      <c r="P42" s="17" t="str">
        <f>_xlfn.XLOOKUP($A42,[13]en_fsh_thrd_no!$A$2:$A$195,[13]en_fsh_thrd_no!$G$2:$G$195)</f>
        <v>144</v>
      </c>
      <c r="Q42" s="17" t="str">
        <f>_xlfn.XLOOKUP($A42,[14]en_bir_thrd_no!$A$2:$A$195,[14]en_bir_thrd_no!$G$2:$G$195)</f>
        <v>25</v>
      </c>
      <c r="R42" s="17" t="str">
        <f>_xlfn.XLOOKUP($A42,[15]en_hpt_thrd_no!$A$2:$A$195,[15]en_hpt_thrd_no!$G$2:$G$195)</f>
        <v>319</v>
      </c>
      <c r="S42" s="17" t="str">
        <f>_xlfn.XLOOKUP($A42,[16]er_lnd_ptld_zs!$A$2:$A$194, [16]er_lnd_ptld_zs!$O$2:$O$194)</f>
        <v>26.6</v>
      </c>
      <c r="T42" s="17" t="str">
        <f>_xlfn.XLOOKUP($A42,[17]er_mrn_ptmr_zs!$A$2:$A$155,[17]er_mrn_ptmr_zs!$O$2:$O$155)</f>
        <v>28.4</v>
      </c>
    </row>
    <row r="43" spans="1:20" x14ac:dyDescent="0.2">
      <c r="A43" t="s">
        <v>125</v>
      </c>
      <c r="B43" t="s">
        <v>126</v>
      </c>
      <c r="C43" s="18" t="str">
        <f>_xlfn.XLOOKUP(A43,[1]Tabelle1!$A$2:$A$196,[1]Tabelle1!$C$2:$C$196)</f>
        <v>americas</v>
      </c>
      <c r="D43" t="s">
        <v>127</v>
      </c>
      <c r="E43" s="17" t="str">
        <f>_xlfn.XLOOKUP(A43,[2]lex!$A$2:$A$195, [2]lex!$HU$2:$HU$195)</f>
        <v>78.6</v>
      </c>
      <c r="F43" s="17" t="str">
        <f>_xlfn.XLOOKUP(A43,[3]gdp_pcap!$A$2:$A$194,[3]gdp_pcap!$HT$2:$HT$194 )</f>
        <v>15295.86616</v>
      </c>
      <c r="G43" s="17" t="str">
        <f>_xlfn.XLOOKUP($A43,[4]ag_lnd_totl_k2!$A$2:$A$195, [4]ag_lnd_totl_k2!$BM$2:$BM$195)</f>
        <v>103800</v>
      </c>
      <c r="H43" s="17" t="str">
        <f>_xlfn.XLOOKUP($A43,[5]industrial_water_withdrawal_per!$A$2:$A$179,[5]industrial_water_withdrawal_per!$BH$2:$BH$179 )</f>
        <v>10.634</v>
      </c>
      <c r="I43" s="17" t="str">
        <f>_xlfn.XLOOKUP($A43,[6]agricultural_water_withdrawal_p!$A$2:$A$180,[6]agricultural_water_withdrawal_p!$BH$2:$BH$180 )</f>
        <v>64.937</v>
      </c>
      <c r="J43" s="17" t="str">
        <f>_xlfn.XLOOKUP($A43,[7]total_water_withdrawal_billion_!$A$2:$A$180, [7]total_water_withdrawal_billion_!$BK$2:$BK$180  )</f>
        <v>6.959</v>
      </c>
      <c r="K43" s="17" t="str">
        <f>_xlfn.XLOOKUP($A43,[8]hydro_power_generation_total!$A$2:$A$119,[8]hydro_power_generation_total!$BA$2:$BA$119 )</f>
        <v>8340</v>
      </c>
      <c r="L43" s="17" t="str">
        <f>_xlfn.XLOOKUP($A43,[9]ag_lnd_prcp_mm!$A$2:$A$182, [9]ag_lnd_prcp_mm!$BL$2:$BL$182)</f>
        <v>1335</v>
      </c>
      <c r="M43" s="17" t="str">
        <f>_xlfn.XLOOKUP($A43,[10]co2_pcap_cons!$A$2:$A$193, [10]co2_pcap_cons!$HQ$2:$HQ$193)</f>
        <v>2.551</v>
      </c>
      <c r="N43" s="17">
        <f>_xlfn.XLOOKUP($A43,[11]primary_forest_area_ha!$A$2:$A$193, [11]primary_forest_area_ha!$AD$2:$AD$193)</f>
        <v>0</v>
      </c>
      <c r="O43" s="17" t="str">
        <f>_xlfn.XLOOKUP($A43,[12]en_mam_thrd_no!$A$2:$A$195,[12]en_mam_thrd_no!$G$2:$G$195)</f>
        <v>10</v>
      </c>
      <c r="P43" s="17" t="str">
        <f>_xlfn.XLOOKUP($A43,[13]en_fsh_thrd_no!$A$2:$A$195,[13]en_fsh_thrd_no!$G$2:$G$195)</f>
        <v>66</v>
      </c>
      <c r="Q43" s="17" t="str">
        <f>_xlfn.XLOOKUP($A43,[14]en_bir_thrd_no!$A$2:$A$195,[14]en_bir_thrd_no!$G$2:$G$195)</f>
        <v>17</v>
      </c>
      <c r="R43" s="17" t="str">
        <f>_xlfn.XLOOKUP($A43,[15]en_hpt_thrd_no!$A$2:$A$195,[15]en_hpt_thrd_no!$G$2:$G$195)</f>
        <v>192</v>
      </c>
      <c r="S43" s="17" t="str">
        <f>_xlfn.XLOOKUP($A43,[16]er_lnd_ptld_zs!$A$2:$A$194, [16]er_lnd_ptld_zs!$O$2:$O$194)</f>
        <v>15.6</v>
      </c>
      <c r="T43" s="17" t="str">
        <f>_xlfn.XLOOKUP($A43,[17]er_mrn_ptmr_zs!$A$2:$A$155,[17]er_mrn_ptmr_zs!$O$2:$O$155)</f>
        <v>4.2</v>
      </c>
    </row>
    <row r="44" spans="1:20" x14ac:dyDescent="0.2">
      <c r="A44" t="s">
        <v>128</v>
      </c>
      <c r="B44" t="s">
        <v>129</v>
      </c>
      <c r="C44" s="18" t="str">
        <f>_xlfn.XLOOKUP(A44,[1]Tabelle1!$A$2:$A$196,[1]Tabelle1!$C$2:$C$196)</f>
        <v>europe</v>
      </c>
      <c r="D44" t="s">
        <v>130</v>
      </c>
      <c r="E44" s="17" t="str">
        <f>_xlfn.XLOOKUP(A44,[2]lex!$A$2:$A$195, [2]lex!$HU$2:$HU$195)</f>
        <v>81.09</v>
      </c>
      <c r="F44" s="17" t="str">
        <f>_xlfn.XLOOKUP(A44,[3]gdp_pcap!$A$2:$A$194,[3]gdp_pcap!$HT$2:$HT$194 )</f>
        <v>55720.00354</v>
      </c>
      <c r="G44" s="17" t="str">
        <f>_xlfn.XLOOKUP($A44,[4]ag_lnd_totl_k2!$A$2:$A$195, [4]ag_lnd_totl_k2!$BM$2:$BM$195)</f>
        <v>9240</v>
      </c>
      <c r="H44" s="17" t="str">
        <f>_xlfn.XLOOKUP($A44,[5]industrial_water_withdrawal_per!$A$2:$A$179,[5]industrial_water_withdrawal_per!$BH$2:$BH$179 )</f>
        <v>5.8824</v>
      </c>
      <c r="I44" s="17" t="str">
        <f>_xlfn.XLOOKUP($A44,[6]agricultural_water_withdrawal_p!$A$2:$A$180,[6]agricultural_water_withdrawal_p!$BH$2:$BH$180 )</f>
        <v>61.246</v>
      </c>
      <c r="J44" s="17" t="str">
        <f>_xlfn.XLOOKUP($A44,[7]total_water_withdrawal_billion_!$A$2:$A$180, [7]total_water_withdrawal_billion_!$BK$2:$BK$180  )</f>
        <v>0.289</v>
      </c>
      <c r="K44" s="17" t="e">
        <f>_xlfn.XLOOKUP($A44,[8]hydro_power_generation_total!$A$2:$A$119,[8]hydro_power_generation_total!$BA$2:$BA$119 )</f>
        <v>#N/A</v>
      </c>
      <c r="L44" s="17" t="str">
        <f>_xlfn.XLOOKUP($A44,[9]ag_lnd_prcp_mm!$A$2:$A$182, [9]ag_lnd_prcp_mm!$BL$2:$BL$182)</f>
        <v>498</v>
      </c>
      <c r="M44" s="17" t="str">
        <f>_xlfn.XLOOKUP($A44,[10]co2_pcap_cons!$A$2:$A$193, [10]co2_pcap_cons!$HQ$2:$HQ$193)</f>
        <v>5.621</v>
      </c>
      <c r="N44" s="17" t="str">
        <f>_xlfn.XLOOKUP($A44,[11]primary_forest_area_ha!$A$2:$A$193, [11]primary_forest_area_ha!$AD$2:$AD$193)</f>
        <v>13241</v>
      </c>
      <c r="O44" s="17" t="str">
        <f>_xlfn.XLOOKUP($A44,[12]en_mam_thrd_no!$A$2:$A$195,[12]en_mam_thrd_no!$G$2:$G$195)</f>
        <v>7</v>
      </c>
      <c r="P44" s="17" t="str">
        <f>_xlfn.XLOOKUP($A44,[13]en_fsh_thrd_no!$A$2:$A$195,[13]en_fsh_thrd_no!$G$2:$G$195)</f>
        <v>39</v>
      </c>
      <c r="Q44" s="17" t="str">
        <f>_xlfn.XLOOKUP($A44,[14]en_bir_thrd_no!$A$2:$A$195,[14]en_bir_thrd_no!$G$2:$G$195)</f>
        <v>9</v>
      </c>
      <c r="R44" s="17" t="str">
        <f>_xlfn.XLOOKUP($A44,[15]en_hpt_thrd_no!$A$2:$A$195,[15]en_hpt_thrd_no!$G$2:$G$195)</f>
        <v>23</v>
      </c>
      <c r="S44" s="17" t="str">
        <f>_xlfn.XLOOKUP($A44,[16]er_lnd_ptld_zs!$A$2:$A$194, [16]er_lnd_ptld_zs!$O$2:$O$194)</f>
        <v>38.6</v>
      </c>
      <c r="T44" s="17" t="str">
        <f>_xlfn.XLOOKUP($A44,[17]er_mrn_ptmr_zs!$A$2:$A$155,[17]er_mrn_ptmr_zs!$O$2:$O$155)</f>
        <v>8.6</v>
      </c>
    </row>
    <row r="45" spans="1:20" x14ac:dyDescent="0.2">
      <c r="A45" t="s">
        <v>131</v>
      </c>
      <c r="B45" t="s">
        <v>132</v>
      </c>
      <c r="C45" s="18" t="str">
        <f>_xlfn.XLOOKUP(A45,[1]Tabelle1!$A$2:$A$196,[1]Tabelle1!$C$2:$C$196)</f>
        <v>europe</v>
      </c>
      <c r="D45" t="s">
        <v>133</v>
      </c>
      <c r="E45" s="17" t="str">
        <f>_xlfn.XLOOKUP(A45,[2]lex!$A$2:$A$195, [2]lex!$HU$2:$HU$195)</f>
        <v>80.4</v>
      </c>
      <c r="F45" s="17" t="str">
        <f>_xlfn.XLOOKUP(A45,[3]gdp_pcap!$A$2:$A$194,[3]gdp_pcap!$HT$2:$HT$194 )</f>
        <v>50179.53386</v>
      </c>
      <c r="G45" s="17" t="str">
        <f>_xlfn.XLOOKUP($A45,[4]ag_lnd_totl_k2!$A$2:$A$195, [4]ag_lnd_totl_k2!$BM$2:$BM$195)</f>
        <v>77167.31</v>
      </c>
      <c r="H45" s="17" t="str">
        <f>_xlfn.XLOOKUP($A45,[5]industrial_water_withdrawal_per!$A$2:$A$179,[5]industrial_water_withdrawal_per!$BH$2:$BH$179 )</f>
        <v>53.665</v>
      </c>
      <c r="I45" s="17" t="str">
        <f>_xlfn.XLOOKUP($A45,[6]agricultural_water_withdrawal_p!$A$2:$A$180,[6]agricultural_water_withdrawal_p!$BH$2:$BH$180 )</f>
        <v>3.0429</v>
      </c>
      <c r="J45" s="17" t="str">
        <f>_xlfn.XLOOKUP($A45,[7]total_water_withdrawal_billion_!$A$2:$A$180, [7]total_water_withdrawal_billion_!$BK$2:$BK$180  )</f>
        <v>1.446</v>
      </c>
      <c r="K45" s="17" t="str">
        <f>_xlfn.XLOOKUP($A45,[8]hydro_power_generation_total!$A$2:$A$119,[8]hydro_power_generation_total!$BA$2:$BA$119 )</f>
        <v>239800</v>
      </c>
      <c r="L45" s="17" t="str">
        <f>_xlfn.XLOOKUP($A45,[9]ag_lnd_prcp_mm!$A$2:$A$182, [9]ag_lnd_prcp_mm!$BL$2:$BL$182)</f>
        <v>677</v>
      </c>
      <c r="M45" s="17" t="str">
        <f>_xlfn.XLOOKUP($A45,[10]co2_pcap_cons!$A$2:$A$193, [10]co2_pcap_cons!$HQ$2:$HQ$193)</f>
        <v>9.835</v>
      </c>
      <c r="N45" s="17" t="str">
        <f>_xlfn.XLOOKUP($A45,[11]primary_forest_area_ha!$A$2:$A$193, [11]primary_forest_area_ha!$AD$2:$AD$193)</f>
        <v>10000</v>
      </c>
      <c r="O45" s="17" t="str">
        <f>_xlfn.XLOOKUP($A45,[12]en_mam_thrd_no!$A$2:$A$195,[12]en_mam_thrd_no!$G$2:$G$195)</f>
        <v>4</v>
      </c>
      <c r="P45" s="17" t="str">
        <f>_xlfn.XLOOKUP($A45,[13]en_fsh_thrd_no!$A$2:$A$195,[13]en_fsh_thrd_no!$G$2:$G$195)</f>
        <v>2</v>
      </c>
      <c r="Q45" s="17" t="str">
        <f>_xlfn.XLOOKUP($A45,[14]en_bir_thrd_no!$A$2:$A$195,[14]en_bir_thrd_no!$G$2:$G$195)</f>
        <v>10</v>
      </c>
      <c r="R45" s="17" t="str">
        <f>_xlfn.XLOOKUP($A45,[15]en_hpt_thrd_no!$A$2:$A$195,[15]en_hpt_thrd_no!$G$2:$G$195)</f>
        <v>31</v>
      </c>
      <c r="S45" s="17" t="str">
        <f>_xlfn.XLOOKUP($A45,[16]er_lnd_ptld_zs!$A$2:$A$194, [16]er_lnd_ptld_zs!$O$2:$O$194)</f>
        <v>21.9</v>
      </c>
      <c r="T45" s="17" t="e">
        <f>_xlfn.XLOOKUP($A45,[17]er_mrn_ptmr_zs!$A$2:$A$155,[17]er_mrn_ptmr_zs!$O$2:$O$155)</f>
        <v>#N/A</v>
      </c>
    </row>
    <row r="46" spans="1:20" x14ac:dyDescent="0.2">
      <c r="A46" t="s">
        <v>134</v>
      </c>
      <c r="B46" t="s">
        <v>135</v>
      </c>
      <c r="C46" s="18" t="str">
        <f>_xlfn.XLOOKUP(A46,[1]Tabelle1!$A$2:$A$196,[1]Tabelle1!$C$2:$C$196)</f>
        <v>europe</v>
      </c>
      <c r="D46" t="s">
        <v>136</v>
      </c>
      <c r="E46" s="17" t="str">
        <f>_xlfn.XLOOKUP(A46,[2]lex!$A$2:$A$195, [2]lex!$HU$2:$HU$195)</f>
        <v>81.4</v>
      </c>
      <c r="F46" s="17" t="str">
        <f>_xlfn.XLOOKUP(A46,[3]gdp_pcap!$A$2:$A$194,[3]gdp_pcap!$HT$2:$HT$194 )</f>
        <v>64355.00745</v>
      </c>
      <c r="G46" s="17" t="str">
        <f>_xlfn.XLOOKUP($A46,[4]ag_lnd_totl_k2!$A$2:$A$195, [4]ag_lnd_totl_k2!$BM$2:$BM$195)</f>
        <v>349430</v>
      </c>
      <c r="H46" s="17" t="str">
        <f>_xlfn.XLOOKUP($A46,[5]industrial_water_withdrawal_per!$A$2:$A$179,[5]industrial_water_withdrawal_per!$BH$2:$BH$179 )</f>
        <v>54.3</v>
      </c>
      <c r="I46" s="17" t="str">
        <f>_xlfn.XLOOKUP($A46,[6]agricultural_water_withdrawal_p!$A$2:$A$180,[6]agricultural_water_withdrawal_p!$BH$2:$BH$180 )</f>
        <v>4.1666</v>
      </c>
      <c r="J46" s="17" t="str">
        <f>_xlfn.XLOOKUP($A46,[7]total_water_withdrawal_billion_!$A$2:$A$180, [7]total_water_withdrawal_billion_!$BK$2:$BK$180  )</f>
        <v>25.793</v>
      </c>
      <c r="K46" s="17" t="str">
        <f>_xlfn.XLOOKUP($A46,[8]hydro_power_generation_total!$A$2:$A$119,[8]hydro_power_generation_total!$BA$2:$BA$119 )</f>
        <v>1756000</v>
      </c>
      <c r="L46" s="17" t="str">
        <f>_xlfn.XLOOKUP($A46,[9]ag_lnd_prcp_mm!$A$2:$A$182, [9]ag_lnd_prcp_mm!$BL$2:$BL$182)</f>
        <v>700</v>
      </c>
      <c r="M46" s="17" t="str">
        <f>_xlfn.XLOOKUP($A46,[10]co2_pcap_cons!$A$2:$A$193, [10]co2_pcap_cons!$HQ$2:$HQ$193)</f>
        <v>9.3</v>
      </c>
      <c r="N46" s="17">
        <f>_xlfn.XLOOKUP($A46,[11]primary_forest_area_ha!$A$2:$A$193, [11]primary_forest_area_ha!$AD$2:$AD$193)</f>
        <v>0</v>
      </c>
      <c r="O46" s="17" t="str">
        <f>_xlfn.XLOOKUP($A46,[12]en_mam_thrd_no!$A$2:$A$195,[12]en_mam_thrd_no!$G$2:$G$195)</f>
        <v>7</v>
      </c>
      <c r="P46" s="17" t="str">
        <f>_xlfn.XLOOKUP($A46,[13]en_fsh_thrd_no!$A$2:$A$195,[13]en_fsh_thrd_no!$G$2:$G$195)</f>
        <v>34</v>
      </c>
      <c r="Q46" s="17" t="str">
        <f>_xlfn.XLOOKUP($A46,[14]en_bir_thrd_no!$A$2:$A$195,[14]en_bir_thrd_no!$G$2:$G$195)</f>
        <v>12</v>
      </c>
      <c r="R46" s="17" t="str">
        <f>_xlfn.XLOOKUP($A46,[15]en_hpt_thrd_no!$A$2:$A$195,[15]en_hpt_thrd_no!$G$2:$G$195)</f>
        <v>51</v>
      </c>
      <c r="S46" s="17" t="str">
        <f>_xlfn.XLOOKUP($A46,[16]er_lnd_ptld_zs!$A$2:$A$194, [16]er_lnd_ptld_zs!$O$2:$O$194)</f>
        <v>39.2</v>
      </c>
      <c r="T46" s="17" t="str">
        <f>_xlfn.XLOOKUP($A46,[17]er_mrn_ptmr_zs!$A$2:$A$155,[17]er_mrn_ptmr_zs!$O$2:$O$155)</f>
        <v>45.3</v>
      </c>
    </row>
    <row r="47" spans="1:20" x14ac:dyDescent="0.2">
      <c r="A47" t="s">
        <v>137</v>
      </c>
      <c r="B47" t="s">
        <v>138</v>
      </c>
      <c r="C47" s="18" t="str">
        <f>_xlfn.XLOOKUP(A47,[1]Tabelle1!$A$2:$A$196,[1]Tabelle1!$C$2:$C$196)</f>
        <v>africa</v>
      </c>
      <c r="D47" t="s">
        <v>139</v>
      </c>
      <c r="E47" s="17" t="str">
        <f>_xlfn.XLOOKUP(A47,[2]lex!$A$2:$A$195, [2]lex!$HU$2:$HU$195)</f>
        <v>69.02</v>
      </c>
      <c r="F47" s="17" t="str">
        <f>_xlfn.XLOOKUP(A47,[3]gdp_pcap!$A$2:$A$194,[3]gdp_pcap!$HT$2:$HT$194 )</f>
        <v>7352.87525</v>
      </c>
      <c r="G47" s="17" t="str">
        <f>_xlfn.XLOOKUP($A47,[4]ag_lnd_totl_k2!$A$2:$A$195, [4]ag_lnd_totl_k2!$BM$2:$BM$195)</f>
        <v>23180</v>
      </c>
      <c r="H47" s="17">
        <f>_xlfn.XLOOKUP($A47,[5]industrial_water_withdrawal_per!$A$2:$A$179,[5]industrial_water_withdrawal_per!$BH$2:$BH$179 )</f>
        <v>0</v>
      </c>
      <c r="I47" s="17" t="str">
        <f>_xlfn.XLOOKUP($A47,[6]agricultural_water_withdrawal_p!$A$2:$A$180,[6]agricultural_water_withdrawal_p!$BH$2:$BH$180 )</f>
        <v>15.789</v>
      </c>
      <c r="J47" s="17" t="str">
        <f>_xlfn.XLOOKUP($A47,[7]total_water_withdrawal_billion_!$A$2:$A$180, [7]total_water_withdrawal_billion_!$BK$2:$BK$180  )</f>
        <v>0.019</v>
      </c>
      <c r="K47" s="17" t="e">
        <f>_xlfn.XLOOKUP($A47,[8]hydro_power_generation_total!$A$2:$A$119,[8]hydro_power_generation_total!$BA$2:$BA$119 )</f>
        <v>#N/A</v>
      </c>
      <c r="L47" s="17" t="str">
        <f>_xlfn.XLOOKUP($A47,[9]ag_lnd_prcp_mm!$A$2:$A$182, [9]ag_lnd_prcp_mm!$BL$2:$BL$182)</f>
        <v>220</v>
      </c>
      <c r="M47" s="17" t="str">
        <f>_xlfn.XLOOKUP($A47,[10]co2_pcap_cons!$A$2:$A$193, [10]co2_pcap_cons!$HQ$2:$HQ$193)</f>
        <v>0.734</v>
      </c>
      <c r="N47" s="17">
        <f>_xlfn.XLOOKUP($A47,[11]primary_forest_area_ha!$A$2:$A$193, [11]primary_forest_area_ha!$AD$2:$AD$193)</f>
        <v>0</v>
      </c>
      <c r="O47" s="17" t="str">
        <f>_xlfn.XLOOKUP($A47,[12]en_mam_thrd_no!$A$2:$A$195,[12]en_mam_thrd_no!$G$2:$G$195)</f>
        <v>11</v>
      </c>
      <c r="P47" s="17" t="str">
        <f>_xlfn.XLOOKUP($A47,[13]en_fsh_thrd_no!$A$2:$A$195,[13]en_fsh_thrd_no!$G$2:$G$195)</f>
        <v>40</v>
      </c>
      <c r="Q47" s="17" t="str">
        <f>_xlfn.XLOOKUP($A47,[14]en_bir_thrd_no!$A$2:$A$195,[14]en_bir_thrd_no!$G$2:$G$195)</f>
        <v>15</v>
      </c>
      <c r="R47" s="17" t="str">
        <f>_xlfn.XLOOKUP($A47,[15]en_hpt_thrd_no!$A$2:$A$195,[15]en_hpt_thrd_no!$G$2:$G$195)</f>
        <v>3</v>
      </c>
      <c r="S47" s="17" t="str">
        <f>_xlfn.XLOOKUP($A47,[16]er_lnd_ptld_zs!$A$2:$A$194, [16]er_lnd_ptld_zs!$O$2:$O$194)</f>
        <v>1.6</v>
      </c>
      <c r="T47" s="17" t="str">
        <f>_xlfn.XLOOKUP($A47,[17]er_mrn_ptmr_zs!$A$2:$A$155,[17]er_mrn_ptmr_zs!$O$2:$O$155)</f>
        <v>0.2</v>
      </c>
    </row>
    <row r="48" spans="1:20" x14ac:dyDescent="0.2">
      <c r="A48" t="s">
        <v>140</v>
      </c>
      <c r="B48" t="s">
        <v>141</v>
      </c>
      <c r="C48" s="18" t="str">
        <f>_xlfn.XLOOKUP(A48,[1]Tabelle1!$A$2:$A$196,[1]Tabelle1!$C$2:$C$196)</f>
        <v>americas</v>
      </c>
      <c r="D48" t="s">
        <v>142</v>
      </c>
      <c r="E48" s="17" t="str">
        <f>_xlfn.XLOOKUP(A48,[2]lex!$A$2:$A$195, [2]lex!$HU$2:$HU$195)</f>
        <v>76.64</v>
      </c>
      <c r="F48" s="17" t="str">
        <f>_xlfn.XLOOKUP(A48,[3]gdp_pcap!$A$2:$A$194,[3]gdp_pcap!$HT$2:$HT$194 )</f>
        <v>19949.18463</v>
      </c>
      <c r="G48" s="17" t="str">
        <f>_xlfn.XLOOKUP($A48,[4]ag_lnd_totl_k2!$A$2:$A$195, [4]ag_lnd_totl_k2!$BM$2:$BM$195)</f>
        <v>750</v>
      </c>
      <c r="H48" s="17">
        <f>_xlfn.XLOOKUP($A48,[5]industrial_water_withdrawal_per!$A$2:$A$179,[5]industrial_water_withdrawal_per!$BH$2:$BH$179 )</f>
        <v>0</v>
      </c>
      <c r="I48" s="17" t="str">
        <f>_xlfn.XLOOKUP($A48,[6]agricultural_water_withdrawal_p!$A$2:$A$180,[6]agricultural_water_withdrawal_p!$BH$2:$BH$180 )</f>
        <v>5</v>
      </c>
      <c r="J48" s="17" t="str">
        <f>_xlfn.XLOOKUP($A48,[7]total_water_withdrawal_billion_!$A$2:$A$180, [7]total_water_withdrawal_billion_!$BK$2:$BK$180  )</f>
        <v>0.02</v>
      </c>
      <c r="K48" s="17" t="e">
        <f>_xlfn.XLOOKUP($A48,[8]hydro_power_generation_total!$A$2:$A$119,[8]hydro_power_generation_total!$BA$2:$BA$119 )</f>
        <v>#N/A</v>
      </c>
      <c r="L48" s="17" t="str">
        <f>_xlfn.XLOOKUP($A48,[9]ag_lnd_prcp_mm!$A$2:$A$182, [9]ag_lnd_prcp_mm!$BL$2:$BL$182)</f>
        <v>2083</v>
      </c>
      <c r="M48" s="17" t="str">
        <f>_xlfn.XLOOKUP($A48,[10]co2_pcap_cons!$A$2:$A$193, [10]co2_pcap_cons!$HQ$2:$HQ$193)</f>
        <v>2.574</v>
      </c>
      <c r="N48" s="17" t="str">
        <f>_xlfn.XLOOKUP($A48,[11]primary_forest_area_ha!$A$2:$A$193, [11]primary_forest_area_ha!$AD$2:$AD$193)</f>
        <v>26300</v>
      </c>
      <c r="O48" s="17" t="str">
        <f>_xlfn.XLOOKUP($A48,[12]en_mam_thrd_no!$A$2:$A$195,[12]en_mam_thrd_no!$G$2:$G$195)</f>
        <v>3</v>
      </c>
      <c r="P48" s="17" t="str">
        <f>_xlfn.XLOOKUP($A48,[13]en_fsh_thrd_no!$A$2:$A$195,[13]en_fsh_thrd_no!$G$2:$G$195)</f>
        <v>50</v>
      </c>
      <c r="Q48" s="17" t="str">
        <f>_xlfn.XLOOKUP($A48,[14]en_bir_thrd_no!$A$2:$A$195,[14]en_bir_thrd_no!$G$2:$G$195)</f>
        <v>6</v>
      </c>
      <c r="R48" s="17" t="str">
        <f>_xlfn.XLOOKUP($A48,[15]en_hpt_thrd_no!$A$2:$A$195,[15]en_hpt_thrd_no!$G$2:$G$195)</f>
        <v>20</v>
      </c>
      <c r="S48" s="17" t="str">
        <f>_xlfn.XLOOKUP($A48,[16]er_lnd_ptld_zs!$A$2:$A$194, [16]er_lnd_ptld_zs!$O$2:$O$194)</f>
        <v>21.4</v>
      </c>
      <c r="T48" s="17" t="str">
        <f>_xlfn.XLOOKUP($A48,[17]er_mrn_ptmr_zs!$A$2:$A$155,[17]er_mrn_ptmr_zs!$O$2:$O$155)</f>
        <v>0.1</v>
      </c>
    </row>
    <row r="49" spans="1:20" x14ac:dyDescent="0.2">
      <c r="A49" t="s">
        <v>143</v>
      </c>
      <c r="B49" t="s">
        <v>144</v>
      </c>
      <c r="C49" s="18" t="str">
        <f>_xlfn.XLOOKUP(A49,[1]Tabelle1!$A$2:$A$196,[1]Tabelle1!$C$2:$C$196)</f>
        <v>europe</v>
      </c>
      <c r="D49" t="s">
        <v>145</v>
      </c>
      <c r="E49" s="17" t="str">
        <f>_xlfn.XLOOKUP(A49,[2]lex!$A$2:$A$195, [2]lex!$HU$2:$HU$195)</f>
        <v>82</v>
      </c>
      <c r="F49" s="17" t="str">
        <f>_xlfn.XLOOKUP(A49,[3]gdp_pcap!$A$2:$A$194,[3]gdp_pcap!$HT$2:$HT$194 )</f>
        <v>77336.97179</v>
      </c>
      <c r="G49" s="17" t="str">
        <f>_xlfn.XLOOKUP($A49,[4]ag_lnd_totl_k2!$A$2:$A$195, [4]ag_lnd_totl_k2!$BM$2:$BM$195)</f>
        <v>40000</v>
      </c>
      <c r="H49" s="17" t="str">
        <f>_xlfn.XLOOKUP($A49,[5]industrial_water_withdrawal_per!$A$2:$A$179,[5]industrial_water_withdrawal_per!$BH$2:$BH$179 )</f>
        <v>4.8243</v>
      </c>
      <c r="I49" s="17" t="str">
        <f>_xlfn.XLOOKUP($A49,[6]agricultural_water_withdrawal_p!$A$2:$A$180,[6]agricultural_water_withdrawal_p!$BH$2:$BH$180 )</f>
        <v>54.207</v>
      </c>
      <c r="J49" s="17" t="str">
        <f>_xlfn.XLOOKUP($A49,[7]total_water_withdrawal_billion_!$A$2:$A$180, [7]total_water_withdrawal_billion_!$BK$2:$BK$180  )</f>
        <v>0.93435</v>
      </c>
      <c r="K49" s="17" t="str">
        <f>_xlfn.XLOOKUP($A49,[8]hydro_power_generation_total!$A$2:$A$119,[8]hydro_power_generation_total!$BA$2:$BA$119 )</f>
        <v>1806</v>
      </c>
      <c r="L49" s="17" t="str">
        <f>_xlfn.XLOOKUP($A49,[9]ag_lnd_prcp_mm!$A$2:$A$182, [9]ag_lnd_prcp_mm!$BL$2:$BL$182)</f>
        <v>703</v>
      </c>
      <c r="M49" s="17" t="str">
        <f>_xlfn.XLOOKUP($A49,[10]co2_pcap_cons!$A$2:$A$193, [10]co2_pcap_cons!$HQ$2:$HQ$193)</f>
        <v>7.685</v>
      </c>
      <c r="N49" s="17" t="str">
        <f>_xlfn.XLOOKUP($A49,[11]primary_forest_area_ha!$A$2:$A$193, [11]primary_forest_area_ha!$AD$2:$AD$193)</f>
        <v>34000</v>
      </c>
      <c r="O49" s="17" t="str">
        <f>_xlfn.XLOOKUP($A49,[12]en_mam_thrd_no!$A$2:$A$195,[12]en_mam_thrd_no!$G$2:$G$195)</f>
        <v>2</v>
      </c>
      <c r="P49" s="17" t="str">
        <f>_xlfn.XLOOKUP($A49,[13]en_fsh_thrd_no!$A$2:$A$195,[13]en_fsh_thrd_no!$G$2:$G$195)</f>
        <v>26</v>
      </c>
      <c r="Q49" s="17" t="str">
        <f>_xlfn.XLOOKUP($A49,[14]en_bir_thrd_no!$A$2:$A$195,[14]en_bir_thrd_no!$G$2:$G$195)</f>
        <v>10</v>
      </c>
      <c r="R49" s="17" t="str">
        <f>_xlfn.XLOOKUP($A49,[15]en_hpt_thrd_no!$A$2:$A$195,[15]en_hpt_thrd_no!$G$2:$G$195)</f>
        <v>2</v>
      </c>
      <c r="S49" s="17" t="str">
        <f>_xlfn.XLOOKUP($A49,[16]er_lnd_ptld_zs!$A$2:$A$194, [16]er_lnd_ptld_zs!$O$2:$O$194)</f>
        <v>16.4</v>
      </c>
      <c r="T49" s="17" t="str">
        <f>_xlfn.XLOOKUP($A49,[17]er_mrn_ptmr_zs!$A$2:$A$155,[17]er_mrn_ptmr_zs!$O$2:$O$155)</f>
        <v>27.1</v>
      </c>
    </row>
    <row r="50" spans="1:20" x14ac:dyDescent="0.2">
      <c r="A50" t="s">
        <v>146</v>
      </c>
      <c r="B50" t="s">
        <v>147</v>
      </c>
      <c r="C50" s="18" t="str">
        <f>_xlfn.XLOOKUP(A50,[1]Tabelle1!$A$2:$A$196,[1]Tabelle1!$C$2:$C$196)</f>
        <v>americas</v>
      </c>
      <c r="D50" t="s">
        <v>148</v>
      </c>
      <c r="E50" s="17" t="str">
        <f>_xlfn.XLOOKUP(A50,[2]lex!$A$2:$A$195, [2]lex!$HU$2:$HU$195)</f>
        <v>73.4</v>
      </c>
      <c r="F50" s="17" t="str">
        <f>_xlfn.XLOOKUP(A50,[3]gdp_pcap!$A$2:$A$194,[3]gdp_pcap!$HT$2:$HT$194 )</f>
        <v>25662.87388</v>
      </c>
      <c r="G50" s="17" t="str">
        <f>_xlfn.XLOOKUP($A50,[4]ag_lnd_totl_k2!$A$2:$A$195, [4]ag_lnd_totl_k2!$BM$2:$BM$195)</f>
        <v>48198.02</v>
      </c>
      <c r="H50" s="17" t="str">
        <f>_xlfn.XLOOKUP($A50,[5]industrial_water_withdrawal_per!$A$2:$A$179,[5]industrial_water_withdrawal_per!$BH$2:$BH$179 )</f>
        <v>7.2693</v>
      </c>
      <c r="I50" s="17" t="str">
        <f>_xlfn.XLOOKUP($A50,[6]agricultural_water_withdrawal_p!$A$2:$A$180,[6]agricultural_water_withdrawal_p!$BH$2:$BH$180 )</f>
        <v>83.312</v>
      </c>
      <c r="J50" s="17" t="str">
        <f>_xlfn.XLOOKUP($A50,[7]total_water_withdrawal_billion_!$A$2:$A$180, [7]total_water_withdrawal_billion_!$BK$2:$BK$180  )</f>
        <v>9.0779</v>
      </c>
      <c r="K50" s="17" t="str">
        <f>_xlfn.XLOOKUP($A50,[8]hydro_power_generation_total!$A$2:$A$119,[8]hydro_power_generation_total!$BA$2:$BA$119 )</f>
        <v>154200</v>
      </c>
      <c r="L50" s="17" t="str">
        <f>_xlfn.XLOOKUP($A50,[9]ag_lnd_prcp_mm!$A$2:$A$182, [9]ag_lnd_prcp_mm!$BL$2:$BL$182)</f>
        <v>1410</v>
      </c>
      <c r="M50" s="17" t="str">
        <f>_xlfn.XLOOKUP($A50,[10]co2_pcap_cons!$A$2:$A$193, [10]co2_pcap_cons!$HQ$2:$HQ$193)</f>
        <v>3.108</v>
      </c>
      <c r="N50" s="17">
        <f>_xlfn.XLOOKUP($A50,[11]primary_forest_area_ha!$A$2:$A$193, [11]primary_forest_area_ha!$AD$2:$AD$193)</f>
        <v>0</v>
      </c>
      <c r="O50" s="17" t="str">
        <f>_xlfn.XLOOKUP($A50,[12]en_mam_thrd_no!$A$2:$A$195,[12]en_mam_thrd_no!$G$2:$G$195)</f>
        <v>6</v>
      </c>
      <c r="P50" s="17" t="str">
        <f>_xlfn.XLOOKUP($A50,[13]en_fsh_thrd_no!$A$2:$A$195,[13]en_fsh_thrd_no!$G$2:$G$195)</f>
        <v>47</v>
      </c>
      <c r="Q50" s="17" t="str">
        <f>_xlfn.XLOOKUP($A50,[14]en_bir_thrd_no!$A$2:$A$195,[14]en_bir_thrd_no!$G$2:$G$195)</f>
        <v>17</v>
      </c>
      <c r="R50" s="17" t="str">
        <f>_xlfn.XLOOKUP($A50,[15]en_hpt_thrd_no!$A$2:$A$195,[15]en_hpt_thrd_no!$G$2:$G$195)</f>
        <v>90</v>
      </c>
      <c r="S50" s="17" t="str">
        <f>_xlfn.XLOOKUP($A50,[16]er_lnd_ptld_zs!$A$2:$A$194, [16]er_lnd_ptld_zs!$O$2:$O$194)</f>
        <v>26.3</v>
      </c>
      <c r="T50" s="17" t="str">
        <f>_xlfn.XLOOKUP($A50,[17]er_mrn_ptmr_zs!$A$2:$A$155,[17]er_mrn_ptmr_zs!$O$2:$O$155)</f>
        <v>13.3</v>
      </c>
    </row>
    <row r="51" spans="1:20" x14ac:dyDescent="0.2">
      <c r="A51" t="s">
        <v>149</v>
      </c>
      <c r="B51" t="s">
        <v>150</v>
      </c>
      <c r="C51" s="18" t="str">
        <f>_xlfn.XLOOKUP(A51,[1]Tabelle1!$A$2:$A$196,[1]Tabelle1!$C$2:$C$196)</f>
        <v>africa</v>
      </c>
      <c r="D51" t="s">
        <v>151</v>
      </c>
      <c r="E51" s="17" t="str">
        <f>_xlfn.XLOOKUP(A51,[2]lex!$A$2:$A$195, [2]lex!$HU$2:$HU$195)</f>
        <v>76.6</v>
      </c>
      <c r="F51" s="17" t="str">
        <f>_xlfn.XLOOKUP(A51,[3]gdp_pcap!$A$2:$A$194,[3]gdp_pcap!$HT$2:$HT$194 )</f>
        <v>16189.46985</v>
      </c>
      <c r="G51" s="17" t="str">
        <f>_xlfn.XLOOKUP($A51,[4]ag_lnd_totl_k2!$A$2:$A$195, [4]ag_lnd_totl_k2!$BM$2:$BM$195)</f>
        <v>2381740</v>
      </c>
      <c r="H51" s="17" t="str">
        <f>_xlfn.XLOOKUP($A51,[5]industrial_water_withdrawal_per!$A$2:$A$179,[5]industrial_water_withdrawal_per!$BH$2:$BH$179 )</f>
        <v>1.6513</v>
      </c>
      <c r="I51" s="17" t="str">
        <f>_xlfn.XLOOKUP($A51,[6]agricultural_water_withdrawal_p!$A$2:$A$180,[6]agricultural_water_withdrawal_p!$BH$2:$BH$180 )</f>
        <v>67.43</v>
      </c>
      <c r="J51" s="17" t="str">
        <f>_xlfn.XLOOKUP($A51,[7]total_water_withdrawal_billion_!$A$2:$A$180, [7]total_water_withdrawal_billion_!$BK$2:$BK$180  )</f>
        <v>10.961</v>
      </c>
      <c r="K51" s="17" t="str">
        <f>_xlfn.XLOOKUP($A51,[8]hydro_power_generation_total!$A$2:$A$119,[8]hydro_power_generation_total!$BA$2:$BA$119 )</f>
        <v>14960</v>
      </c>
      <c r="L51" s="17" t="str">
        <f>_xlfn.XLOOKUP($A51,[9]ag_lnd_prcp_mm!$A$2:$A$182, [9]ag_lnd_prcp_mm!$BL$2:$BL$182)</f>
        <v>89</v>
      </c>
      <c r="M51" s="17" t="str">
        <f>_xlfn.XLOOKUP($A51,[10]co2_pcap_cons!$A$2:$A$193, [10]co2_pcap_cons!$HQ$2:$HQ$193)</f>
        <v>3.88</v>
      </c>
      <c r="N51" s="17">
        <f>_xlfn.XLOOKUP($A51,[11]primary_forest_area_ha!$A$2:$A$193, [11]primary_forest_area_ha!$AD$2:$AD$193)</f>
        <v>0</v>
      </c>
      <c r="O51" s="17" t="str">
        <f>_xlfn.XLOOKUP($A51,[12]en_mam_thrd_no!$A$2:$A$195,[12]en_mam_thrd_no!$G$2:$G$195)</f>
        <v>15</v>
      </c>
      <c r="P51" s="17" t="str">
        <f>_xlfn.XLOOKUP($A51,[13]en_fsh_thrd_no!$A$2:$A$195,[13]en_fsh_thrd_no!$G$2:$G$195)</f>
        <v>65</v>
      </c>
      <c r="Q51" s="17" t="str">
        <f>_xlfn.XLOOKUP($A51,[14]en_bir_thrd_no!$A$2:$A$195,[14]en_bir_thrd_no!$G$2:$G$195)</f>
        <v>20</v>
      </c>
      <c r="R51" s="17" t="str">
        <f>_xlfn.XLOOKUP($A51,[15]en_hpt_thrd_no!$A$2:$A$195,[15]en_hpt_thrd_no!$G$2:$G$195)</f>
        <v>31</v>
      </c>
      <c r="S51" s="17" t="str">
        <f>_xlfn.XLOOKUP($A51,[16]er_lnd_ptld_zs!$A$2:$A$194, [16]er_lnd_ptld_zs!$O$2:$O$194)</f>
        <v>4.7</v>
      </c>
      <c r="T51" s="17" t="str">
        <f>_xlfn.XLOOKUP($A51,[17]er_mrn_ptmr_zs!$A$2:$A$155,[17]er_mrn_ptmr_zs!$O$2:$O$155)</f>
        <v>0.1</v>
      </c>
    </row>
    <row r="52" spans="1:20" x14ac:dyDescent="0.2">
      <c r="A52" t="s">
        <v>152</v>
      </c>
      <c r="B52" t="s">
        <v>153</v>
      </c>
      <c r="C52" s="18" t="str">
        <f>_xlfn.XLOOKUP(A52,[1]Tabelle1!$A$2:$A$196,[1]Tabelle1!$C$2:$C$196)</f>
        <v>americas</v>
      </c>
      <c r="D52" t="s">
        <v>154</v>
      </c>
      <c r="E52" s="17" t="str">
        <f>_xlfn.XLOOKUP(A52,[2]lex!$A$2:$A$195, [2]lex!$HU$2:$HU$195)</f>
        <v>77.2</v>
      </c>
      <c r="F52" s="17" t="str">
        <f>_xlfn.XLOOKUP(A52,[3]gdp_pcap!$A$2:$A$194,[3]gdp_pcap!$HT$2:$HT$194 )</f>
        <v>14442.50999</v>
      </c>
      <c r="G52" s="17" t="str">
        <f>_xlfn.XLOOKUP($A52,[4]ag_lnd_totl_k2!$A$2:$A$195, [4]ag_lnd_totl_k2!$BM$2:$BM$195)</f>
        <v>248360</v>
      </c>
      <c r="H52" s="17" t="str">
        <f>_xlfn.XLOOKUP($A52,[5]industrial_water_withdrawal_per!$A$2:$A$179,[5]industrial_water_withdrawal_per!$BH$2:$BH$179 )</f>
        <v>5.5354</v>
      </c>
      <c r="I52" s="17" t="str">
        <f>_xlfn.XLOOKUP($A52,[6]agricultural_water_withdrawal_p!$A$2:$A$180,[6]agricultural_water_withdrawal_p!$BH$2:$BH$180 )</f>
        <v>81.428</v>
      </c>
      <c r="J52" s="17" t="str">
        <f>_xlfn.XLOOKUP($A52,[7]total_water_withdrawal_billion_!$A$2:$A$180, [7]total_water_withdrawal_billion_!$BK$2:$BK$180  )</f>
        <v>9.918</v>
      </c>
      <c r="K52" s="17" t="str">
        <f>_xlfn.XLOOKUP($A52,[8]hydro_power_generation_total!$A$2:$A$119,[8]hydro_power_generation_total!$BA$2:$BA$119 )</f>
        <v>742600</v>
      </c>
      <c r="L52" s="17" t="str">
        <f>_xlfn.XLOOKUP($A52,[9]ag_lnd_prcp_mm!$A$2:$A$182, [9]ag_lnd_prcp_mm!$BL$2:$BL$182)</f>
        <v>2274</v>
      </c>
      <c r="M52" s="17" t="str">
        <f>_xlfn.XLOOKUP($A52,[10]co2_pcap_cons!$A$2:$A$193, [10]co2_pcap_cons!$HQ$2:$HQ$193)</f>
        <v>2.7</v>
      </c>
      <c r="N52" s="17" t="str">
        <f>_xlfn.XLOOKUP($A52,[11]primary_forest_area_ha!$A$2:$A$193, [11]primary_forest_area_ha!$AD$2:$AD$193)</f>
        <v>12467299</v>
      </c>
      <c r="O52" s="17" t="str">
        <f>_xlfn.XLOOKUP($A52,[12]en_mam_thrd_no!$A$2:$A$195,[12]en_mam_thrd_no!$G$2:$G$195)</f>
        <v>49</v>
      </c>
      <c r="P52" s="17" t="str">
        <f>_xlfn.XLOOKUP($A52,[13]en_fsh_thrd_no!$A$2:$A$195,[13]en_fsh_thrd_no!$G$2:$G$195)</f>
        <v>99</v>
      </c>
      <c r="Q52" s="17" t="str">
        <f>_xlfn.XLOOKUP($A52,[14]en_bir_thrd_no!$A$2:$A$195,[14]en_bir_thrd_no!$G$2:$G$195)</f>
        <v>86</v>
      </c>
      <c r="R52" s="17" t="str">
        <f>_xlfn.XLOOKUP($A52,[15]en_hpt_thrd_no!$A$2:$A$195,[15]en_hpt_thrd_no!$G$2:$G$195)</f>
        <v>2029</v>
      </c>
      <c r="S52" s="17" t="str">
        <f>_xlfn.XLOOKUP($A52,[16]er_lnd_ptld_zs!$A$2:$A$194, [16]er_lnd_ptld_zs!$O$2:$O$194)</f>
        <v>23.8</v>
      </c>
      <c r="T52" s="17" t="str">
        <f>_xlfn.XLOOKUP($A52,[17]er_mrn_ptmr_zs!$A$2:$A$155,[17]er_mrn_ptmr_zs!$O$2:$O$155)</f>
        <v>19.3</v>
      </c>
    </row>
    <row r="53" spans="1:20" x14ac:dyDescent="0.2">
      <c r="A53" t="s">
        <v>155</v>
      </c>
      <c r="B53" t="s">
        <v>156</v>
      </c>
      <c r="C53" s="18" t="str">
        <f>_xlfn.XLOOKUP(A53,[1]Tabelle1!$A$2:$A$196,[1]Tabelle1!$C$2:$C$196)</f>
        <v>africa</v>
      </c>
      <c r="D53" t="s">
        <v>157</v>
      </c>
      <c r="E53" s="17" t="str">
        <f>_xlfn.XLOOKUP(A53,[2]lex!$A$2:$A$195, [2]lex!$HU$2:$HU$195)</f>
        <v>70.59</v>
      </c>
      <c r="F53" s="17" t="str">
        <f>_xlfn.XLOOKUP(A53,[3]gdp_pcap!$A$2:$A$194,[3]gdp_pcap!$HT$2:$HT$194 )</f>
        <v>17541.37397</v>
      </c>
      <c r="G53" s="17" t="str">
        <f>_xlfn.XLOOKUP($A53,[4]ag_lnd_totl_k2!$A$2:$A$195, [4]ag_lnd_totl_k2!$BM$2:$BM$195)</f>
        <v>995450</v>
      </c>
      <c r="H53" s="17" t="str">
        <f>_xlfn.XLOOKUP($A53,[5]industrial_water_withdrawal_per!$A$2:$A$179,[5]industrial_water_withdrawal_per!$BH$2:$BH$179 )</f>
        <v>6.9677</v>
      </c>
      <c r="I53" s="17" t="str">
        <f>_xlfn.XLOOKUP($A53,[6]agricultural_water_withdrawal_p!$A$2:$A$180,[6]agricultural_water_withdrawal_p!$BH$2:$BH$180 )</f>
        <v>79.161</v>
      </c>
      <c r="J53" s="17" t="str">
        <f>_xlfn.XLOOKUP($A53,[7]total_water_withdrawal_billion_!$A$2:$A$180, [7]total_water_withdrawal_billion_!$BK$2:$BK$180  )</f>
        <v>77.5</v>
      </c>
      <c r="K53" s="17" t="str">
        <f>_xlfn.XLOOKUP($A53,[8]hydro_power_generation_total!$A$2:$A$119,[8]hydro_power_generation_total!$BA$2:$BA$119 )</f>
        <v>1122000</v>
      </c>
      <c r="L53" s="17" t="str">
        <f>_xlfn.XLOOKUP($A53,[9]ag_lnd_prcp_mm!$A$2:$A$182, [9]ag_lnd_prcp_mm!$BL$2:$BL$182)</f>
        <v>18.1</v>
      </c>
      <c r="M53" s="17" t="str">
        <f>_xlfn.XLOOKUP($A53,[10]co2_pcap_cons!$A$2:$A$193, [10]co2_pcap_cons!$HQ$2:$HQ$193)</f>
        <v>2.399</v>
      </c>
      <c r="N53" s="17">
        <f>_xlfn.XLOOKUP($A53,[11]primary_forest_area_ha!$A$2:$A$193, [11]primary_forest_area_ha!$AD$2:$AD$193)</f>
        <v>0</v>
      </c>
      <c r="O53" s="17" t="str">
        <f>_xlfn.XLOOKUP($A53,[12]en_mam_thrd_no!$A$2:$A$195,[12]en_mam_thrd_no!$G$2:$G$195)</f>
        <v>19</v>
      </c>
      <c r="P53" s="17" t="str">
        <f>_xlfn.XLOOKUP($A53,[13]en_fsh_thrd_no!$A$2:$A$195,[13]en_fsh_thrd_no!$G$2:$G$195)</f>
        <v>89</v>
      </c>
      <c r="Q53" s="17" t="str">
        <f>_xlfn.XLOOKUP($A53,[14]en_bir_thrd_no!$A$2:$A$195,[14]en_bir_thrd_no!$G$2:$G$195)</f>
        <v>17</v>
      </c>
      <c r="R53" s="17" t="str">
        <f>_xlfn.XLOOKUP($A53,[15]en_hpt_thrd_no!$A$2:$A$195,[15]en_hpt_thrd_no!$G$2:$G$195)</f>
        <v>13</v>
      </c>
      <c r="S53" s="17" t="str">
        <f>_xlfn.XLOOKUP($A53,[16]er_lnd_ptld_zs!$A$2:$A$194, [16]er_lnd_ptld_zs!$O$2:$O$194)</f>
        <v>13.1</v>
      </c>
      <c r="T53" s="17" t="str">
        <f>_xlfn.XLOOKUP($A53,[17]er_mrn_ptmr_zs!$A$2:$A$155,[17]er_mrn_ptmr_zs!$O$2:$O$155)</f>
        <v>5.1</v>
      </c>
    </row>
    <row r="54" spans="1:20" x14ac:dyDescent="0.2">
      <c r="A54" t="s">
        <v>158</v>
      </c>
      <c r="B54" t="s">
        <v>159</v>
      </c>
      <c r="C54" s="18" t="str">
        <f>_xlfn.XLOOKUP(A54,[1]Tabelle1!$A$2:$A$196,[1]Tabelle1!$C$2:$C$196)</f>
        <v>africa</v>
      </c>
      <c r="D54" t="s">
        <v>160</v>
      </c>
      <c r="E54" s="17" t="str">
        <f>_xlfn.XLOOKUP(A54,[2]lex!$A$2:$A$195, [2]lex!$HU$2:$HU$195)</f>
        <v>63.63</v>
      </c>
      <c r="F54" s="17" t="str">
        <f>_xlfn.XLOOKUP(A54,[3]gdp_pcap!$A$2:$A$194,[3]gdp_pcap!$HT$2:$HT$194 )</f>
        <v>2441.67773</v>
      </c>
      <c r="G54" s="17" t="str">
        <f>_xlfn.XLOOKUP($A54,[4]ag_lnd_totl_k2!$A$2:$A$195, [4]ag_lnd_totl_k2!$BM$2:$BM$195)</f>
        <v>121178.2</v>
      </c>
      <c r="H54" s="17" t="str">
        <f>_xlfn.XLOOKUP($A54,[5]industrial_water_withdrawal_per!$A$2:$A$179,[5]industrial_water_withdrawal_per!$BH$2:$BH$179 )</f>
        <v>0.17182</v>
      </c>
      <c r="I54" s="17" t="str">
        <f>_xlfn.XLOOKUP($A54,[6]agricultural_water_withdrawal_p!$A$2:$A$180,[6]agricultural_water_withdrawal_p!$BH$2:$BH$180 )</f>
        <v>94.502</v>
      </c>
      <c r="J54" s="17" t="str">
        <f>_xlfn.XLOOKUP($A54,[7]total_water_withdrawal_billion_!$A$2:$A$180, [7]total_water_withdrawal_billion_!$BK$2:$BK$180  )</f>
        <v>0.582</v>
      </c>
      <c r="K54" s="17" t="e">
        <f>_xlfn.XLOOKUP($A54,[8]hydro_power_generation_total!$A$2:$A$119,[8]hydro_power_generation_total!$BA$2:$BA$119 )</f>
        <v>#N/A</v>
      </c>
      <c r="L54" s="17" t="str">
        <f>_xlfn.XLOOKUP($A54,[9]ag_lnd_prcp_mm!$A$2:$A$182, [9]ag_lnd_prcp_mm!$BL$2:$BL$182)</f>
        <v>384</v>
      </c>
      <c r="M54" s="17" t="str">
        <f>_xlfn.XLOOKUP($A54,[10]co2_pcap_cons!$A$2:$A$193, [10]co2_pcap_cons!$HQ$2:$HQ$193)</f>
        <v>0.234</v>
      </c>
      <c r="N54" s="17">
        <f>_xlfn.XLOOKUP($A54,[11]primary_forest_area_ha!$A$2:$A$193, [11]primary_forest_area_ha!$AD$2:$AD$193)</f>
        <v>0</v>
      </c>
      <c r="O54" s="17" t="str">
        <f>_xlfn.XLOOKUP($A54,[12]en_mam_thrd_no!$A$2:$A$195,[12]en_mam_thrd_no!$G$2:$G$195)</f>
        <v>16</v>
      </c>
      <c r="P54" s="17" t="str">
        <f>_xlfn.XLOOKUP($A54,[13]en_fsh_thrd_no!$A$2:$A$195,[13]en_fsh_thrd_no!$G$2:$G$195)</f>
        <v>50</v>
      </c>
      <c r="Q54" s="17" t="str">
        <f>_xlfn.XLOOKUP($A54,[14]en_bir_thrd_no!$A$2:$A$195,[14]en_bir_thrd_no!$G$2:$G$195)</f>
        <v>22</v>
      </c>
      <c r="R54" s="17" t="str">
        <f>_xlfn.XLOOKUP($A54,[15]en_hpt_thrd_no!$A$2:$A$195,[15]en_hpt_thrd_no!$G$2:$G$195)</f>
        <v>7</v>
      </c>
      <c r="S54" s="17">
        <f>_xlfn.XLOOKUP($A54,[16]er_lnd_ptld_zs!$A$2:$A$194, [16]er_lnd_ptld_zs!$O$2:$O$194)</f>
        <v>0</v>
      </c>
      <c r="T54" s="17">
        <f>_xlfn.XLOOKUP($A54,[17]er_mrn_ptmr_zs!$A$2:$A$155,[17]er_mrn_ptmr_zs!$O$2:$O$155)</f>
        <v>0</v>
      </c>
    </row>
    <row r="55" spans="1:20" x14ac:dyDescent="0.2">
      <c r="A55" t="s">
        <v>161</v>
      </c>
      <c r="B55" t="s">
        <v>162</v>
      </c>
      <c r="C55" s="18" t="str">
        <f>_xlfn.XLOOKUP(A55,[1]Tabelle1!$A$2:$A$196,[1]Tabelle1!$C$2:$C$196)</f>
        <v>europe</v>
      </c>
      <c r="D55" t="s">
        <v>163</v>
      </c>
      <c r="E55" s="17" t="str">
        <f>_xlfn.XLOOKUP(A55,[2]lex!$A$2:$A$195, [2]lex!$HU$2:$HU$195)</f>
        <v>83.6</v>
      </c>
      <c r="F55" s="17" t="str">
        <f>_xlfn.XLOOKUP(A55,[3]gdp_pcap!$A$2:$A$194,[3]gdp_pcap!$HT$2:$HT$194 )</f>
        <v>50242.02774</v>
      </c>
      <c r="G55" s="17" t="str">
        <f>_xlfn.XLOOKUP($A55,[4]ag_lnd_totl_k2!$A$2:$A$195, [4]ag_lnd_totl_k2!$BM$2:$BM$195)</f>
        <v>499697.4</v>
      </c>
      <c r="H55" s="17" t="str">
        <f>_xlfn.XLOOKUP($A55,[5]industrial_water_withdrawal_per!$A$2:$A$179,[5]industrial_water_withdrawal_per!$BH$2:$BH$179 )</f>
        <v>18.952</v>
      </c>
      <c r="I55" s="17" t="str">
        <f>_xlfn.XLOOKUP($A55,[6]agricultural_water_withdrawal_p!$A$2:$A$180,[6]agricultural_water_withdrawal_p!$BH$2:$BH$180 )</f>
        <v>65.334</v>
      </c>
      <c r="J55" s="17" t="str">
        <f>_xlfn.XLOOKUP($A55,[7]total_water_withdrawal_billion_!$A$2:$A$180, [7]total_water_withdrawal_billion_!$BK$2:$BK$180  )</f>
        <v>29.02</v>
      </c>
      <c r="K55" s="17" t="str">
        <f>_xlfn.XLOOKUP($A55,[8]hydro_power_generation_total!$A$2:$A$119,[8]hydro_power_generation_total!$BA$2:$BA$119 )</f>
        <v>3635000</v>
      </c>
      <c r="L55" s="17" t="str">
        <f>_xlfn.XLOOKUP($A55,[9]ag_lnd_prcp_mm!$A$2:$A$182, [9]ag_lnd_prcp_mm!$BL$2:$BL$182)</f>
        <v>636</v>
      </c>
      <c r="M55" s="17" t="str">
        <f>_xlfn.XLOOKUP($A55,[10]co2_pcap_cons!$A$2:$A$193, [10]co2_pcap_cons!$HQ$2:$HQ$193)</f>
        <v>5.657</v>
      </c>
      <c r="N55" s="17">
        <f>_xlfn.XLOOKUP($A55,[11]primary_forest_area_ha!$A$2:$A$193, [11]primary_forest_area_ha!$AD$2:$AD$193)</f>
        <v>0</v>
      </c>
      <c r="O55" s="17" t="str">
        <f>_xlfn.XLOOKUP($A55,[12]en_mam_thrd_no!$A$2:$A$195,[12]en_mam_thrd_no!$G$2:$G$195)</f>
        <v>18</v>
      </c>
      <c r="P55" s="17" t="str">
        <f>_xlfn.XLOOKUP($A55,[13]en_fsh_thrd_no!$A$2:$A$195,[13]en_fsh_thrd_no!$G$2:$G$195)</f>
        <v>98</v>
      </c>
      <c r="Q55" s="17" t="str">
        <f>_xlfn.XLOOKUP($A55,[14]en_bir_thrd_no!$A$2:$A$195,[14]en_bir_thrd_no!$G$2:$G$195)</f>
        <v>24</v>
      </c>
      <c r="R55" s="17" t="str">
        <f>_xlfn.XLOOKUP($A55,[15]en_hpt_thrd_no!$A$2:$A$195,[15]en_hpt_thrd_no!$G$2:$G$195)</f>
        <v>287</v>
      </c>
      <c r="S55" s="17" t="str">
        <f>_xlfn.XLOOKUP($A55,[16]er_lnd_ptld_zs!$A$2:$A$194, [16]er_lnd_ptld_zs!$O$2:$O$194)</f>
        <v>28.1</v>
      </c>
      <c r="T55" s="17" t="str">
        <f>_xlfn.XLOOKUP($A55,[17]er_mrn_ptmr_zs!$A$2:$A$155,[17]er_mrn_ptmr_zs!$O$2:$O$155)</f>
        <v>19</v>
      </c>
    </row>
    <row r="56" spans="1:20" x14ac:dyDescent="0.2">
      <c r="A56" t="s">
        <v>164</v>
      </c>
      <c r="B56" t="s">
        <v>165</v>
      </c>
      <c r="C56" s="18" t="str">
        <f>_xlfn.XLOOKUP(A56,[1]Tabelle1!$A$2:$A$196,[1]Tabelle1!$C$2:$C$196)</f>
        <v>europe</v>
      </c>
      <c r="D56" t="s">
        <v>166</v>
      </c>
      <c r="E56" s="17" t="str">
        <f>_xlfn.XLOOKUP(A56,[2]lex!$A$2:$A$195, [2]lex!$HU$2:$HU$195)</f>
        <v>79.1</v>
      </c>
      <c r="F56" s="17" t="str">
        <f>_xlfn.XLOOKUP(A56,[3]gdp_pcap!$A$2:$A$194,[3]gdp_pcap!$HT$2:$HT$194 )</f>
        <v>42892.09544</v>
      </c>
      <c r="G56" s="17" t="str">
        <f>_xlfn.XLOOKUP($A56,[4]ag_lnd_totl_k2!$A$2:$A$195, [4]ag_lnd_totl_k2!$BM$2:$BM$195)</f>
        <v>42730</v>
      </c>
      <c r="H56" s="17" t="str">
        <f>_xlfn.XLOOKUP($A56,[5]industrial_water_withdrawal_per!$A$2:$A$179,[5]industrial_water_withdrawal_per!$BH$2:$BH$179 )</f>
        <v>94.193</v>
      </c>
      <c r="I56" s="17" t="str">
        <f>_xlfn.XLOOKUP($A56,[6]agricultural_water_withdrawal_p!$A$2:$A$180,[6]agricultural_water_withdrawal_p!$BH$2:$BH$180 )</f>
        <v>0.41478</v>
      </c>
      <c r="J56" s="17" t="str">
        <f>_xlfn.XLOOKUP($A56,[7]total_water_withdrawal_billion_!$A$2:$A$180, [7]total_water_withdrawal_billion_!$BK$2:$BK$180  )</f>
        <v>1.2055</v>
      </c>
      <c r="K56" s="17" t="str">
        <f>_xlfn.XLOOKUP($A56,[8]hydro_power_generation_total!$A$2:$A$119,[8]hydro_power_generation_total!$BA$2:$BA$119 )</f>
        <v>2322</v>
      </c>
      <c r="L56" s="17" t="str">
        <f>_xlfn.XLOOKUP($A56,[9]ag_lnd_prcp_mm!$A$2:$A$182, [9]ag_lnd_prcp_mm!$BL$2:$BL$182)</f>
        <v>626</v>
      </c>
      <c r="M56" s="17" t="str">
        <f>_xlfn.XLOOKUP($A56,[10]co2_pcap_cons!$A$2:$A$193, [10]co2_pcap_cons!$HQ$2:$HQ$193)</f>
        <v>10.373</v>
      </c>
      <c r="N56" s="17" t="str">
        <f>_xlfn.XLOOKUP($A56,[11]primary_forest_area_ha!$A$2:$A$193, [11]primary_forest_area_ha!$AD$2:$AD$193)</f>
        <v>58000</v>
      </c>
      <c r="O56" s="17" t="str">
        <f>_xlfn.XLOOKUP($A56,[12]en_mam_thrd_no!$A$2:$A$195,[12]en_mam_thrd_no!$G$2:$G$195)</f>
        <v>1</v>
      </c>
      <c r="P56" s="17" t="str">
        <f>_xlfn.XLOOKUP($A56,[13]en_fsh_thrd_no!$A$2:$A$195,[13]en_fsh_thrd_no!$G$2:$G$195)</f>
        <v>4</v>
      </c>
      <c r="Q56" s="17" t="str">
        <f>_xlfn.XLOOKUP($A56,[14]en_bir_thrd_no!$A$2:$A$195,[14]en_bir_thrd_no!$G$2:$G$195)</f>
        <v>11</v>
      </c>
      <c r="R56" s="17" t="str">
        <f>_xlfn.XLOOKUP($A56,[15]en_hpt_thrd_no!$A$2:$A$195,[15]en_hpt_thrd_no!$G$2:$G$195)</f>
        <v>2</v>
      </c>
      <c r="S56" s="17" t="str">
        <f>_xlfn.XLOOKUP($A56,[16]er_lnd_ptld_zs!$A$2:$A$194, [16]er_lnd_ptld_zs!$O$2:$O$194)</f>
        <v>21.6</v>
      </c>
      <c r="T56" s="17" t="str">
        <f>_xlfn.XLOOKUP($A56,[17]er_mrn_ptmr_zs!$A$2:$A$155,[17]er_mrn_ptmr_zs!$O$2:$O$155)</f>
        <v>19.2</v>
      </c>
    </row>
    <row r="57" spans="1:20" x14ac:dyDescent="0.2">
      <c r="A57" t="s">
        <v>167</v>
      </c>
      <c r="B57" t="s">
        <v>168</v>
      </c>
      <c r="C57" s="18" t="str">
        <f>_xlfn.XLOOKUP(A57,[1]Tabelle1!$A$2:$A$196,[1]Tabelle1!$C$2:$C$196)</f>
        <v>africa</v>
      </c>
      <c r="D57" t="s">
        <v>169</v>
      </c>
      <c r="E57" s="17" t="str">
        <f>_xlfn.XLOOKUP(A57,[2]lex!$A$2:$A$195, [2]lex!$HU$2:$HU$195)</f>
        <v>65.47</v>
      </c>
      <c r="F57" s="17" t="str">
        <f>_xlfn.XLOOKUP(A57,[3]gdp_pcap!$A$2:$A$194,[3]gdp_pcap!$HT$2:$HT$194 )</f>
        <v>3106.93422</v>
      </c>
      <c r="G57" s="17" t="str">
        <f>_xlfn.XLOOKUP($A57,[4]ag_lnd_totl_k2!$A$2:$A$195, [4]ag_lnd_totl_k2!$BM$2:$BM$195)</f>
        <v>1128498.8</v>
      </c>
      <c r="H57" s="17" t="str">
        <f>_xlfn.XLOOKUP($A57,[5]industrial_water_withdrawal_per!$A$2:$A$179,[5]industrial_water_withdrawal_per!$BH$2:$BH$179 )</f>
        <v>0.48445</v>
      </c>
      <c r="I57" s="17" t="str">
        <f>_xlfn.XLOOKUP($A57,[6]agricultural_water_withdrawal_p!$A$2:$A$180,[6]agricultural_water_withdrawal_p!$BH$2:$BH$180 )</f>
        <v>91.836</v>
      </c>
      <c r="J57" s="17" t="str">
        <f>_xlfn.XLOOKUP($A57,[7]total_water_withdrawal_billion_!$A$2:$A$180, [7]total_water_withdrawal_billion_!$BK$2:$BK$180  )</f>
        <v>10.548</v>
      </c>
      <c r="K57" s="17" t="str">
        <f>_xlfn.XLOOKUP($A57,[8]hydro_power_generation_total!$A$2:$A$119,[8]hydro_power_generation_total!$BA$2:$BA$119 )</f>
        <v>424000</v>
      </c>
      <c r="L57" s="17" t="str">
        <f>_xlfn.XLOOKUP($A57,[9]ag_lnd_prcp_mm!$A$2:$A$182, [9]ag_lnd_prcp_mm!$BL$2:$BL$182)</f>
        <v>848</v>
      </c>
      <c r="M57" s="17" t="str">
        <f>_xlfn.XLOOKUP($A57,[10]co2_pcap_cons!$A$2:$A$193, [10]co2_pcap_cons!$HQ$2:$HQ$193)</f>
        <v>0.188</v>
      </c>
      <c r="N57" s="17">
        <f>_xlfn.XLOOKUP($A57,[11]primary_forest_area_ha!$A$2:$A$193, [11]primary_forest_area_ha!$AD$2:$AD$193)</f>
        <v>0</v>
      </c>
      <c r="O57" s="17" t="str">
        <f>_xlfn.XLOOKUP($A57,[12]en_mam_thrd_no!$A$2:$A$195,[12]en_mam_thrd_no!$G$2:$G$195)</f>
        <v>40</v>
      </c>
      <c r="P57" s="17" t="str">
        <f>_xlfn.XLOOKUP($A57,[13]en_fsh_thrd_no!$A$2:$A$195,[13]en_fsh_thrd_no!$G$2:$G$195)</f>
        <v>16</v>
      </c>
      <c r="Q57" s="17" t="str">
        <f>_xlfn.XLOOKUP($A57,[14]en_bir_thrd_no!$A$2:$A$195,[14]en_bir_thrd_no!$G$2:$G$195)</f>
        <v>35</v>
      </c>
      <c r="R57" s="17" t="str">
        <f>_xlfn.XLOOKUP($A57,[15]en_hpt_thrd_no!$A$2:$A$195,[15]en_hpt_thrd_no!$G$2:$G$195)</f>
        <v>107</v>
      </c>
      <c r="S57" s="17" t="str">
        <f>_xlfn.XLOOKUP($A57,[16]er_lnd_ptld_zs!$A$2:$A$194, [16]er_lnd_ptld_zs!$O$2:$O$194)</f>
        <v>17</v>
      </c>
      <c r="T57" s="17" t="e">
        <f>_xlfn.XLOOKUP($A57,[17]er_mrn_ptmr_zs!$A$2:$A$155,[17]er_mrn_ptmr_zs!$O$2:$O$155)</f>
        <v>#N/A</v>
      </c>
    </row>
    <row r="58" spans="1:20" x14ac:dyDescent="0.2">
      <c r="A58" t="s">
        <v>170</v>
      </c>
      <c r="B58" t="s">
        <v>171</v>
      </c>
      <c r="C58" s="18" t="str">
        <f>_xlfn.XLOOKUP(A58,[1]Tabelle1!$A$2:$A$196,[1]Tabelle1!$C$2:$C$196)</f>
        <v>europe</v>
      </c>
      <c r="D58" t="s">
        <v>172</v>
      </c>
      <c r="E58" s="17" t="str">
        <f>_xlfn.XLOOKUP(A58,[2]lex!$A$2:$A$195, [2]lex!$HU$2:$HU$195)</f>
        <v>82.2</v>
      </c>
      <c r="F58" s="17" t="str">
        <f>_xlfn.XLOOKUP(A58,[3]gdp_pcap!$A$2:$A$194,[3]gdp_pcap!$HT$2:$HT$194 )</f>
        <v>57574.23612</v>
      </c>
      <c r="G58" s="17" t="str">
        <f>_xlfn.XLOOKUP($A58,[4]ag_lnd_totl_k2!$A$2:$A$195, [4]ag_lnd_totl_k2!$BM$2:$BM$195)</f>
        <v>303960</v>
      </c>
      <c r="H58" s="17" t="str">
        <f>_xlfn.XLOOKUP($A58,[5]industrial_water_withdrawal_per!$A$2:$A$179,[5]industrial_water_withdrawal_per!$BH$2:$BH$179 )</f>
        <v>46.411</v>
      </c>
      <c r="I58" s="17" t="str">
        <f>_xlfn.XLOOKUP($A58,[6]agricultural_water_withdrawal_p!$A$2:$A$180,[6]agricultural_water_withdrawal_p!$BH$2:$BH$180 )</f>
        <v>35.726</v>
      </c>
      <c r="J58" s="17" t="str">
        <f>_xlfn.XLOOKUP($A58,[7]total_water_withdrawal_billion_!$A$2:$A$180, [7]total_water_withdrawal_billion_!$BK$2:$BK$180  )</f>
        <v>2.7991</v>
      </c>
      <c r="K58" s="17" t="str">
        <f>_xlfn.XLOOKUP($A58,[8]hydro_power_generation_total!$A$2:$A$119,[8]hydro_power_generation_total!$BA$2:$BA$119 )</f>
        <v>1111000</v>
      </c>
      <c r="L58" s="17" t="str">
        <f>_xlfn.XLOOKUP($A58,[9]ag_lnd_prcp_mm!$A$2:$A$182, [9]ag_lnd_prcp_mm!$BL$2:$BL$182)</f>
        <v>536</v>
      </c>
      <c r="M58" s="17" t="str">
        <f>_xlfn.XLOOKUP($A58,[10]co2_pcap_cons!$A$2:$A$193, [10]co2_pcap_cons!$HQ$2:$HQ$193)</f>
        <v>8.761</v>
      </c>
      <c r="N58" s="17" t="str">
        <f>_xlfn.XLOOKUP($A58,[11]primary_forest_area_ha!$A$2:$A$193, [11]primary_forest_area_ha!$AD$2:$AD$193)</f>
        <v>230207</v>
      </c>
      <c r="O58" s="17" t="str">
        <f>_xlfn.XLOOKUP($A58,[12]en_mam_thrd_no!$A$2:$A$195,[12]en_mam_thrd_no!$G$2:$G$195)</f>
        <v>2</v>
      </c>
      <c r="P58" s="17" t="str">
        <f>_xlfn.XLOOKUP($A58,[13]en_fsh_thrd_no!$A$2:$A$195,[13]en_fsh_thrd_no!$G$2:$G$195)</f>
        <v>5</v>
      </c>
      <c r="Q58" s="17" t="str">
        <f>_xlfn.XLOOKUP($A58,[14]en_bir_thrd_no!$A$2:$A$195,[14]en_bir_thrd_no!$G$2:$G$195)</f>
        <v>12</v>
      </c>
      <c r="R58" s="17" t="str">
        <f>_xlfn.XLOOKUP($A58,[15]en_hpt_thrd_no!$A$2:$A$195,[15]en_hpt_thrd_no!$G$2:$G$195)</f>
        <v>4</v>
      </c>
      <c r="S58" s="17" t="str">
        <f>_xlfn.XLOOKUP($A58,[16]er_lnd_ptld_zs!$A$2:$A$194, [16]er_lnd_ptld_zs!$O$2:$O$194)</f>
        <v>13.9</v>
      </c>
      <c r="T58" s="17" t="str">
        <f>_xlfn.XLOOKUP($A58,[17]er_mrn_ptmr_zs!$A$2:$A$155,[17]er_mrn_ptmr_zs!$O$2:$O$155)</f>
        <v>11.8</v>
      </c>
    </row>
    <row r="59" spans="1:20" x14ac:dyDescent="0.2">
      <c r="A59" t="s">
        <v>173</v>
      </c>
      <c r="B59" t="s">
        <v>174</v>
      </c>
      <c r="C59" s="18" t="str">
        <f>_xlfn.XLOOKUP(A59,[1]Tabelle1!$A$2:$A$196,[1]Tabelle1!$C$2:$C$196)</f>
        <v>asia</v>
      </c>
      <c r="D59" t="s">
        <v>175</v>
      </c>
      <c r="E59" s="17" t="str">
        <f>_xlfn.XLOOKUP(A59,[2]lex!$A$2:$A$195, [2]lex!$HU$2:$HU$195)</f>
        <v>68.2</v>
      </c>
      <c r="F59" s="17" t="str">
        <f>_xlfn.XLOOKUP(A59,[3]gdp_pcap!$A$2:$A$194,[3]gdp_pcap!$HT$2:$HT$194 )</f>
        <v>14765.58232</v>
      </c>
      <c r="G59" s="17" t="str">
        <f>_xlfn.XLOOKUP($A59,[4]ag_lnd_totl_k2!$A$2:$A$195, [4]ag_lnd_totl_k2!$BM$2:$BM$195)</f>
        <v>18270</v>
      </c>
      <c r="H59" s="17" t="str">
        <f>_xlfn.XLOOKUP($A59,[5]industrial_water_withdrawal_per!$A$2:$A$179,[5]industrial_water_withdrawal_per!$BH$2:$BH$179 )</f>
        <v>11.307</v>
      </c>
      <c r="I59" s="17" t="str">
        <f>_xlfn.XLOOKUP($A59,[6]agricultural_water_withdrawal_p!$A$2:$A$180,[6]agricultural_water_withdrawal_p!$BH$2:$BH$180 )</f>
        <v>58.893</v>
      </c>
      <c r="J59" s="17" t="str">
        <f>_xlfn.XLOOKUP($A59,[7]total_water_withdrawal_billion_!$A$2:$A$180, [7]total_water_withdrawal_billion_!$BK$2:$BK$180  )</f>
        <v>0.0849</v>
      </c>
      <c r="K59" s="17" t="e">
        <f>_xlfn.XLOOKUP($A59,[8]hydro_power_generation_total!$A$2:$A$119,[8]hydro_power_generation_total!$BA$2:$BA$119 )</f>
        <v>#N/A</v>
      </c>
      <c r="L59" s="17" t="str">
        <f>_xlfn.XLOOKUP($A59,[9]ag_lnd_prcp_mm!$A$2:$A$182, [9]ag_lnd_prcp_mm!$BL$2:$BL$182)</f>
        <v>2592</v>
      </c>
      <c r="M59" s="17" t="str">
        <f>_xlfn.XLOOKUP($A59,[10]co2_pcap_cons!$A$2:$A$193, [10]co2_pcap_cons!$HQ$2:$HQ$193)</f>
        <v>2.603</v>
      </c>
      <c r="N59" s="17" t="str">
        <f>_xlfn.XLOOKUP($A59,[11]primary_forest_area_ha!$A$2:$A$193, [11]primary_forest_area_ha!$AD$2:$AD$193)</f>
        <v>411412</v>
      </c>
      <c r="O59" s="17" t="str">
        <f>_xlfn.XLOOKUP($A59,[12]en_mam_thrd_no!$A$2:$A$195,[12]en_mam_thrd_no!$G$2:$G$195)</f>
        <v>7</v>
      </c>
      <c r="P59" s="17" t="str">
        <f>_xlfn.XLOOKUP($A59,[13]en_fsh_thrd_no!$A$2:$A$195,[13]en_fsh_thrd_no!$G$2:$G$195)</f>
        <v>33</v>
      </c>
      <c r="Q59" s="17" t="str">
        <f>_xlfn.XLOOKUP($A59,[14]en_bir_thrd_no!$A$2:$A$195,[14]en_bir_thrd_no!$G$2:$G$195)</f>
        <v>14</v>
      </c>
      <c r="R59" s="17" t="str">
        <f>_xlfn.XLOOKUP($A59,[15]en_hpt_thrd_no!$A$2:$A$195,[15]en_hpt_thrd_no!$G$2:$G$195)</f>
        <v>95</v>
      </c>
      <c r="S59" s="17" t="str">
        <f>_xlfn.XLOOKUP($A59,[16]er_lnd_ptld_zs!$A$2:$A$194, [16]er_lnd_ptld_zs!$O$2:$O$194)</f>
        <v>3.9</v>
      </c>
      <c r="T59" s="17" t="str">
        <f>_xlfn.XLOOKUP($A59,[17]er_mrn_ptmr_zs!$A$2:$A$155,[17]er_mrn_ptmr_zs!$O$2:$O$155)</f>
        <v>0.9</v>
      </c>
    </row>
    <row r="60" spans="1:20" x14ac:dyDescent="0.2">
      <c r="A60" t="s">
        <v>176</v>
      </c>
      <c r="B60" t="s">
        <v>177</v>
      </c>
      <c r="C60" s="18" t="str">
        <f>_xlfn.XLOOKUP(A60,[1]Tabelle1!$A$2:$A$196,[1]Tabelle1!$C$2:$C$196)</f>
        <v>europe</v>
      </c>
      <c r="D60" t="s">
        <v>178</v>
      </c>
      <c r="E60" s="17" t="str">
        <f>_xlfn.XLOOKUP(A60,[2]lex!$A$2:$A$195, [2]lex!$HU$2:$HU$195)</f>
        <v>83</v>
      </c>
      <c r="F60" s="17" t="str">
        <f>_xlfn.XLOOKUP(A60,[3]gdp_pcap!$A$2:$A$194,[3]gdp_pcap!$HT$2:$HT$194 )</f>
        <v>56112.81238</v>
      </c>
      <c r="G60" s="17" t="str">
        <f>_xlfn.XLOOKUP($A60,[4]ag_lnd_totl_k2!$A$2:$A$195, [4]ag_lnd_totl_k2!$BM$2:$BM$195)</f>
        <v>538950</v>
      </c>
      <c r="H60" s="17" t="str">
        <f>_xlfn.XLOOKUP($A60,[5]industrial_water_withdrawal_per!$A$2:$A$179,[5]industrial_water_withdrawal_per!$BH$2:$BH$179 )</f>
        <v>68.125</v>
      </c>
      <c r="I60" s="17" t="str">
        <f>_xlfn.XLOOKUP($A60,[6]agricultural_water_withdrawal_p!$A$2:$A$180,[6]agricultural_water_withdrawal_p!$BH$2:$BH$180 )</f>
        <v>10.296</v>
      </c>
      <c r="J60" s="17" t="str">
        <f>_xlfn.XLOOKUP($A60,[7]total_water_withdrawal_billion_!$A$2:$A$180, [7]total_water_withdrawal_billion_!$BK$2:$BK$180  )</f>
        <v>24.428</v>
      </c>
      <c r="K60" s="17" t="str">
        <f>_xlfn.XLOOKUP($A60,[8]hydro_power_generation_total!$A$2:$A$119,[8]hydro_power_generation_total!$BA$2:$BA$119 )</f>
        <v>5332000</v>
      </c>
      <c r="L60" s="17" t="str">
        <f>_xlfn.XLOOKUP($A60,[9]ag_lnd_prcp_mm!$A$2:$A$182, [9]ag_lnd_prcp_mm!$BL$2:$BL$182)</f>
        <v>867</v>
      </c>
      <c r="M60" s="17" t="str">
        <f>_xlfn.XLOOKUP($A60,[10]co2_pcap_cons!$A$2:$A$193, [10]co2_pcap_cons!$HQ$2:$HQ$193)</f>
        <v>6.073</v>
      </c>
      <c r="N60" s="17">
        <f>_xlfn.XLOOKUP($A60,[11]primary_forest_area_ha!$A$2:$A$193, [11]primary_forest_area_ha!$AD$2:$AD$193)</f>
        <v>0</v>
      </c>
      <c r="O60" s="17" t="str">
        <f>_xlfn.XLOOKUP($A60,[12]en_mam_thrd_no!$A$2:$A$195,[12]en_mam_thrd_no!$G$2:$G$195)</f>
        <v>13</v>
      </c>
      <c r="P60" s="17" t="str">
        <f>_xlfn.XLOOKUP($A60,[13]en_fsh_thrd_no!$A$2:$A$195,[13]en_fsh_thrd_no!$G$2:$G$195)</f>
        <v>75</v>
      </c>
      <c r="Q60" s="17" t="str">
        <f>_xlfn.XLOOKUP($A60,[14]en_bir_thrd_no!$A$2:$A$195,[14]en_bir_thrd_no!$G$2:$G$195)</f>
        <v>19</v>
      </c>
      <c r="R60" s="17" t="str">
        <f>_xlfn.XLOOKUP($A60,[15]en_hpt_thrd_no!$A$2:$A$195,[15]en_hpt_thrd_no!$G$2:$G$195)</f>
        <v>65</v>
      </c>
      <c r="S60" s="17" t="str">
        <f>_xlfn.XLOOKUP($A60,[16]er_lnd_ptld_zs!$A$2:$A$194, [16]er_lnd_ptld_zs!$O$2:$O$194)</f>
        <v>28.8</v>
      </c>
      <c r="T60" s="17" t="str">
        <f>_xlfn.XLOOKUP($A60,[17]er_mrn_ptmr_zs!$A$2:$A$155,[17]er_mrn_ptmr_zs!$O$2:$O$155)</f>
        <v>49.2</v>
      </c>
    </row>
    <row r="61" spans="1:20" x14ac:dyDescent="0.2">
      <c r="A61" t="s">
        <v>179</v>
      </c>
      <c r="B61" t="s">
        <v>180</v>
      </c>
      <c r="C61" s="18" t="str">
        <f>_xlfn.XLOOKUP(A61,[1]Tabelle1!$A$2:$A$196,[1]Tabelle1!$C$2:$C$196)</f>
        <v>asia</v>
      </c>
      <c r="D61" t="s">
        <v>181</v>
      </c>
      <c r="E61" s="17" t="str">
        <f>_xlfn.XLOOKUP(A61,[2]lex!$A$2:$A$195, [2]lex!$HU$2:$HU$195)</f>
        <v>67.5</v>
      </c>
      <c r="F61" s="17" t="str">
        <f>_xlfn.XLOOKUP(A61,[3]gdp_pcap!$A$2:$A$194,[3]gdp_pcap!$HT$2:$HT$194 )</f>
        <v>3967.76263</v>
      </c>
      <c r="G61" s="17" t="str">
        <f>_xlfn.XLOOKUP($A61,[4]ag_lnd_totl_k2!$A$2:$A$195, [4]ag_lnd_totl_k2!$BM$2:$BM$195)</f>
        <v>700</v>
      </c>
      <c r="H61" s="17" t="e">
        <f>_xlfn.XLOOKUP($A61,[5]industrial_water_withdrawal_per!$A$2:$A$179,[5]industrial_water_withdrawal_per!$BH$2:$BH$179 )</f>
        <v>#N/A</v>
      </c>
      <c r="I61" s="17" t="e">
        <f>_xlfn.XLOOKUP($A61,[6]agricultural_water_withdrawal_p!$A$2:$A$180,[6]agricultural_water_withdrawal_p!$BH$2:$BH$180 )</f>
        <v>#N/A</v>
      </c>
      <c r="J61" s="17" t="e">
        <f>_xlfn.XLOOKUP($A61,[7]total_water_withdrawal_billion_!$A$2:$A$180, [7]total_water_withdrawal_billion_!$BK$2:$BK$180  )</f>
        <v>#N/A</v>
      </c>
      <c r="K61" s="17" t="e">
        <f>_xlfn.XLOOKUP($A61,[8]hydro_power_generation_total!$A$2:$A$119,[8]hydro_power_generation_total!$BA$2:$BA$119 )</f>
        <v>#N/A</v>
      </c>
      <c r="L61" s="17" t="e">
        <f>_xlfn.XLOOKUP($A61,[9]ag_lnd_prcp_mm!$A$2:$A$182, [9]ag_lnd_prcp_mm!$BL$2:$BL$182)</f>
        <v>#N/A</v>
      </c>
      <c r="M61" s="17" t="str">
        <f>_xlfn.XLOOKUP($A61,[10]co2_pcap_cons!$A$2:$A$193, [10]co2_pcap_cons!$HQ$2:$HQ$193)</f>
        <v>1.449</v>
      </c>
      <c r="N61" s="17" t="str">
        <f>_xlfn.XLOOKUP($A61,[11]primary_forest_area_ha!$A$2:$A$193, [11]primary_forest_area_ha!$AD$2:$AD$193)</f>
        <v>48367</v>
      </c>
      <c r="O61" s="17" t="str">
        <f>_xlfn.XLOOKUP($A61,[12]en_mam_thrd_no!$A$2:$A$195,[12]en_mam_thrd_no!$G$2:$G$195)</f>
        <v>6</v>
      </c>
      <c r="P61" s="17" t="str">
        <f>_xlfn.XLOOKUP($A61,[13]en_fsh_thrd_no!$A$2:$A$195,[13]en_fsh_thrd_no!$G$2:$G$195)</f>
        <v>32</v>
      </c>
      <c r="Q61" s="17" t="str">
        <f>_xlfn.XLOOKUP($A61,[14]en_bir_thrd_no!$A$2:$A$195,[14]en_bir_thrd_no!$G$2:$G$195)</f>
        <v>13</v>
      </c>
      <c r="R61" s="17" t="str">
        <f>_xlfn.XLOOKUP($A61,[15]en_hpt_thrd_no!$A$2:$A$195,[15]en_hpt_thrd_no!$G$2:$G$195)</f>
        <v>8</v>
      </c>
      <c r="S61" s="17">
        <f>_xlfn.XLOOKUP($A61,[16]er_lnd_ptld_zs!$A$2:$A$194, [16]er_lnd_ptld_zs!$O$2:$O$194)</f>
        <v>0</v>
      </c>
      <c r="T61" s="17">
        <f>_xlfn.XLOOKUP($A61,[17]er_mrn_ptmr_zs!$A$2:$A$155,[17]er_mrn_ptmr_zs!$O$2:$O$155)</f>
        <v>0</v>
      </c>
    </row>
    <row r="62" spans="1:20" x14ac:dyDescent="0.2">
      <c r="A62" t="s">
        <v>182</v>
      </c>
      <c r="B62" t="s">
        <v>183</v>
      </c>
      <c r="C62" s="18" t="str">
        <f>_xlfn.XLOOKUP(A62,[1]Tabelle1!$A$2:$A$196,[1]Tabelle1!$C$2:$C$196)</f>
        <v>africa</v>
      </c>
      <c r="D62" t="s">
        <v>184</v>
      </c>
      <c r="E62" s="17" t="str">
        <f>_xlfn.XLOOKUP(A62,[2]lex!$A$2:$A$195, [2]lex!$HU$2:$HU$195)</f>
        <v>67.59</v>
      </c>
      <c r="F62" s="17" t="str">
        <f>_xlfn.XLOOKUP(A62,[3]gdp_pcap!$A$2:$A$194,[3]gdp_pcap!$HT$2:$HT$194 )</f>
        <v>19542.93836</v>
      </c>
      <c r="G62" s="17" t="str">
        <f>_xlfn.XLOOKUP($A62,[4]ag_lnd_totl_k2!$A$2:$A$195, [4]ag_lnd_totl_k2!$BM$2:$BM$195)</f>
        <v>257670</v>
      </c>
      <c r="H62" s="17" t="str">
        <f>_xlfn.XLOOKUP($A62,[5]industrial_water_withdrawal_per!$A$2:$A$179,[5]industrial_water_withdrawal_per!$BH$2:$BH$179 )</f>
        <v>10.137</v>
      </c>
      <c r="I62" s="17" t="str">
        <f>_xlfn.XLOOKUP($A62,[6]agricultural_water_withdrawal_p!$A$2:$A$180,[6]agricultural_water_withdrawal_p!$BH$2:$BH$180 )</f>
        <v>28.972</v>
      </c>
      <c r="J62" s="17" t="str">
        <f>_xlfn.XLOOKUP($A62,[7]total_water_withdrawal_billion_!$A$2:$A$180, [7]total_water_withdrawal_billion_!$BK$2:$BK$180  )</f>
        <v>0.1391</v>
      </c>
      <c r="K62" s="17" t="str">
        <f>_xlfn.XLOOKUP($A62,[8]hydro_power_generation_total!$A$2:$A$119,[8]hydro_power_generation_total!$BA$2:$BA$119 )</f>
        <v>69560</v>
      </c>
      <c r="L62" s="17" t="str">
        <f>_xlfn.XLOOKUP($A62,[9]ag_lnd_prcp_mm!$A$2:$A$182, [9]ag_lnd_prcp_mm!$BL$2:$BL$182)</f>
        <v>1831</v>
      </c>
      <c r="M62" s="17" t="str">
        <f>_xlfn.XLOOKUP($A62,[10]co2_pcap_cons!$A$2:$A$193, [10]co2_pcap_cons!$HQ$2:$HQ$193)</f>
        <v>2.764</v>
      </c>
      <c r="N62" s="17" t="str">
        <f>_xlfn.XLOOKUP($A62,[11]primary_forest_area_ha!$A$2:$A$193, [11]primary_forest_area_ha!$AD$2:$AD$193)</f>
        <v>12804000</v>
      </c>
      <c r="O62" s="17" t="str">
        <f>_xlfn.XLOOKUP($A62,[12]en_mam_thrd_no!$A$2:$A$195,[12]en_mam_thrd_no!$G$2:$G$195)</f>
        <v>18</v>
      </c>
      <c r="P62" s="17" t="str">
        <f>_xlfn.XLOOKUP($A62,[13]en_fsh_thrd_no!$A$2:$A$195,[13]en_fsh_thrd_no!$G$2:$G$195)</f>
        <v>97</v>
      </c>
      <c r="Q62" s="17" t="str">
        <f>_xlfn.XLOOKUP($A62,[14]en_bir_thrd_no!$A$2:$A$195,[14]en_bir_thrd_no!$G$2:$G$195)</f>
        <v>5</v>
      </c>
      <c r="R62" s="17" t="str">
        <f>_xlfn.XLOOKUP($A62,[15]en_hpt_thrd_no!$A$2:$A$195,[15]en_hpt_thrd_no!$G$2:$G$195)</f>
        <v>468</v>
      </c>
      <c r="S62" s="17" t="str">
        <f>_xlfn.XLOOKUP($A62,[16]er_lnd_ptld_zs!$A$2:$A$194, [16]er_lnd_ptld_zs!$O$2:$O$194)</f>
        <v>22.6</v>
      </c>
      <c r="T62" s="17" t="str">
        <f>_xlfn.XLOOKUP($A62,[17]er_mrn_ptmr_zs!$A$2:$A$155,[17]er_mrn_ptmr_zs!$O$2:$O$155)</f>
        <v>26.8</v>
      </c>
    </row>
    <row r="63" spans="1:20" x14ac:dyDescent="0.2">
      <c r="A63" t="s">
        <v>185</v>
      </c>
      <c r="B63" t="s">
        <v>186</v>
      </c>
      <c r="C63" s="18" t="str">
        <f>_xlfn.XLOOKUP(A63,[1]Tabelle1!$A$2:$A$196,[1]Tabelle1!$C$2:$C$196)</f>
        <v>europe</v>
      </c>
      <c r="D63" t="s">
        <v>187</v>
      </c>
      <c r="E63" s="17" t="str">
        <f>_xlfn.XLOOKUP(A63,[2]lex!$A$2:$A$195, [2]lex!$HU$2:$HU$195)</f>
        <v>81.5</v>
      </c>
      <c r="F63" s="17" t="str">
        <f>_xlfn.XLOOKUP(A63,[3]gdp_pcap!$A$2:$A$194,[3]gdp_pcap!$HT$2:$HT$194 )</f>
        <v>53993.24847</v>
      </c>
      <c r="G63" s="17" t="str">
        <f>_xlfn.XLOOKUP($A63,[4]ag_lnd_totl_k2!$A$2:$A$195, [4]ag_lnd_totl_k2!$BM$2:$BM$195)</f>
        <v>241930</v>
      </c>
      <c r="H63" s="17" t="str">
        <f>_xlfn.XLOOKUP($A63,[5]industrial_water_withdrawal_per!$A$2:$A$179,[5]industrial_water_withdrawal_per!$BH$2:$BH$179 )</f>
        <v>11.995</v>
      </c>
      <c r="I63" s="17" t="str">
        <f>_xlfn.XLOOKUP($A63,[6]agricultural_water_withdrawal_p!$A$2:$A$180,[6]agricultural_water_withdrawal_p!$BH$2:$BH$180 )</f>
        <v>14.05</v>
      </c>
      <c r="J63" s="17" t="str">
        <f>_xlfn.XLOOKUP($A63,[7]total_water_withdrawal_billion_!$A$2:$A$180, [7]total_water_withdrawal_billion_!$BK$2:$BK$180  )</f>
        <v>8.42</v>
      </c>
      <c r="K63" s="17" t="str">
        <f>_xlfn.XLOOKUP($A63,[8]hydro_power_generation_total!$A$2:$A$119,[8]hydro_power_generation_total!$BA$2:$BA$119 )</f>
        <v>309900</v>
      </c>
      <c r="L63" s="17" t="str">
        <f>_xlfn.XLOOKUP($A63,[9]ag_lnd_prcp_mm!$A$2:$A$182, [9]ag_lnd_prcp_mm!$BL$2:$BL$182)</f>
        <v>1220</v>
      </c>
      <c r="M63" s="17" t="str">
        <f>_xlfn.XLOOKUP($A63,[10]co2_pcap_cons!$A$2:$A$193, [10]co2_pcap_cons!$HQ$2:$HQ$193)</f>
        <v>6.926</v>
      </c>
      <c r="N63" s="17">
        <f>_xlfn.XLOOKUP($A63,[11]primary_forest_area_ha!$A$2:$A$193, [11]primary_forest_area_ha!$AD$2:$AD$193)</f>
        <v>0</v>
      </c>
      <c r="O63" s="17" t="str">
        <f>_xlfn.XLOOKUP($A63,[12]en_mam_thrd_no!$A$2:$A$195,[12]en_mam_thrd_no!$G$2:$G$195)</f>
        <v>4</v>
      </c>
      <c r="P63" s="17" t="str">
        <f>_xlfn.XLOOKUP($A63,[13]en_fsh_thrd_no!$A$2:$A$195,[13]en_fsh_thrd_no!$G$2:$G$195)</f>
        <v>60</v>
      </c>
      <c r="Q63" s="17" t="str">
        <f>_xlfn.XLOOKUP($A63,[14]en_bir_thrd_no!$A$2:$A$195,[14]en_bir_thrd_no!$G$2:$G$195)</f>
        <v>11</v>
      </c>
      <c r="R63" s="17" t="str">
        <f>_xlfn.XLOOKUP($A63,[15]en_hpt_thrd_no!$A$2:$A$195,[15]en_hpt_thrd_no!$G$2:$G$195)</f>
        <v>53</v>
      </c>
      <c r="S63" s="17" t="str">
        <f>_xlfn.XLOOKUP($A63,[16]er_lnd_ptld_zs!$A$2:$A$194, [16]er_lnd_ptld_zs!$O$2:$O$194)</f>
        <v>28.4</v>
      </c>
      <c r="T63" s="17" t="str">
        <f>_xlfn.XLOOKUP($A63,[17]er_mrn_ptmr_zs!$A$2:$A$155,[17]er_mrn_ptmr_zs!$O$2:$O$155)</f>
        <v>46.8</v>
      </c>
    </row>
    <row r="64" spans="1:20" x14ac:dyDescent="0.2">
      <c r="A64" t="s">
        <v>0</v>
      </c>
      <c r="B64" t="s">
        <v>188</v>
      </c>
      <c r="C64" s="18" t="str">
        <f>_xlfn.XLOOKUP(A64,[1]Tabelle1!$A$2:$A$196,[1]Tabelle1!$C$2:$C$196)</f>
        <v>europe</v>
      </c>
      <c r="D64" t="s">
        <v>189</v>
      </c>
      <c r="E64" s="17" t="str">
        <f>_xlfn.XLOOKUP(A64,[2]lex!$A$2:$A$195, [2]lex!$HU$2:$HU$195)</f>
        <v>75.2</v>
      </c>
      <c r="F64" s="17" t="str">
        <f>_xlfn.XLOOKUP(A64,[3]gdp_pcap!$A$2:$A$194,[3]gdp_pcap!$HT$2:$HT$194 )</f>
        <v>27204.56113</v>
      </c>
      <c r="G64" s="17" t="str">
        <f>_xlfn.XLOOKUP($A64,[4]ag_lnd_totl_k2!$A$2:$A$195, [4]ag_lnd_totl_k2!$BM$2:$BM$195)</f>
        <v>69490</v>
      </c>
      <c r="H64" s="17" t="str">
        <f>_xlfn.XLOOKUP($A64,[5]industrial_water_withdrawal_per!$A$2:$A$179,[5]industrial_water_withdrawal_per!$BH$2:$BH$179 )</f>
        <v>27.406</v>
      </c>
      <c r="I64" s="17" t="str">
        <f>_xlfn.XLOOKUP($A64,[6]agricultural_water_withdrawal_p!$A$2:$A$180,[6]agricultural_water_withdrawal_p!$BH$2:$BH$180 )</f>
        <v>33.552</v>
      </c>
      <c r="J64" s="17" t="str">
        <f>_xlfn.XLOOKUP($A64,[7]total_water_withdrawal_billion_!$A$2:$A$180, [7]total_water_withdrawal_billion_!$BK$2:$BK$180  )</f>
        <v>1.2934</v>
      </c>
      <c r="K64" s="17" t="str">
        <f>_xlfn.XLOOKUP($A64,[8]hydro_power_generation_total!$A$2:$A$119,[8]hydro_power_generation_total!$BA$2:$BA$119 )</f>
        <v>805400</v>
      </c>
      <c r="L64" s="17" t="str">
        <f>_xlfn.XLOOKUP($A64,[9]ag_lnd_prcp_mm!$A$2:$A$182, [9]ag_lnd_prcp_mm!$BL$2:$BL$182)</f>
        <v>1026</v>
      </c>
      <c r="M64" s="17" t="str">
        <f>_xlfn.XLOOKUP($A64,[10]co2_pcap_cons!$A$2:$A$193, [10]co2_pcap_cons!$HQ$2:$HQ$193)</f>
        <v>3.769</v>
      </c>
      <c r="N64" s="17" t="str">
        <f>_xlfn.XLOOKUP($A64,[11]primary_forest_area_ha!$A$2:$A$193, [11]primary_forest_area_ha!$AD$2:$AD$193)</f>
        <v>500000</v>
      </c>
      <c r="O64" s="17" t="str">
        <f>_xlfn.XLOOKUP($A64,[12]en_mam_thrd_no!$A$2:$A$195,[12]en_mam_thrd_no!$G$2:$G$195)</f>
        <v>8</v>
      </c>
      <c r="P64" s="17" t="str">
        <f>_xlfn.XLOOKUP($A64,[13]en_fsh_thrd_no!$A$2:$A$195,[13]en_fsh_thrd_no!$G$2:$G$195)</f>
        <v>13</v>
      </c>
      <c r="Q64" s="17" t="str">
        <f>_xlfn.XLOOKUP($A64,[14]en_bir_thrd_no!$A$2:$A$195,[14]en_bir_thrd_no!$G$2:$G$195)</f>
        <v>15</v>
      </c>
      <c r="R64" s="17" t="str">
        <f>_xlfn.XLOOKUP($A64,[15]en_hpt_thrd_no!$A$2:$A$195,[15]en_hpt_thrd_no!$G$2:$G$195)</f>
        <v>70</v>
      </c>
      <c r="S64" s="17" t="str">
        <f>_xlfn.XLOOKUP($A64,[16]er_lnd_ptld_zs!$A$2:$A$194, [16]er_lnd_ptld_zs!$O$2:$O$194)</f>
        <v>22.8</v>
      </c>
      <c r="T64" s="17" t="str">
        <f>_xlfn.XLOOKUP($A64,[17]er_mrn_ptmr_zs!$A$2:$A$155,[17]er_mrn_ptmr_zs!$O$2:$O$155)</f>
        <v>0.8</v>
      </c>
    </row>
    <row r="65" spans="1:20" x14ac:dyDescent="0.2">
      <c r="A65" t="s">
        <v>190</v>
      </c>
      <c r="B65" t="s">
        <v>191</v>
      </c>
      <c r="C65" s="18" t="str">
        <f>_xlfn.XLOOKUP(A65,[1]Tabelle1!$A$2:$A$196,[1]Tabelle1!$C$2:$C$196)</f>
        <v>africa</v>
      </c>
      <c r="D65" t="s">
        <v>192</v>
      </c>
      <c r="E65" s="17" t="str">
        <f>_xlfn.XLOOKUP(A65,[2]lex!$A$2:$A$195, [2]lex!$HU$2:$HU$195)</f>
        <v>66</v>
      </c>
      <c r="F65" s="17" t="str">
        <f>_xlfn.XLOOKUP(A65,[3]gdp_pcap!$A$2:$A$194,[3]gdp_pcap!$HT$2:$HT$194 )</f>
        <v>7404.44027</v>
      </c>
      <c r="G65" s="17" t="str">
        <f>_xlfn.XLOOKUP($A65,[4]ag_lnd_totl_k2!$A$2:$A$195, [4]ag_lnd_totl_k2!$BM$2:$BM$195)</f>
        <v>227533</v>
      </c>
      <c r="H65" s="17" t="str">
        <f>_xlfn.XLOOKUP($A65,[5]industrial_water_withdrawal_per!$A$2:$A$179,[5]industrial_water_withdrawal_per!$BH$2:$BH$179 )</f>
        <v>6.4864</v>
      </c>
      <c r="I65" s="17" t="str">
        <f>_xlfn.XLOOKUP($A65,[6]agricultural_water_withdrawal_p!$A$2:$A$180,[6]agricultural_water_withdrawal_p!$BH$2:$BH$180 )</f>
        <v>73.057</v>
      </c>
      <c r="J65" s="17" t="str">
        <f>_xlfn.XLOOKUP($A65,[7]total_water_withdrawal_billion_!$A$2:$A$180, [7]total_water_withdrawal_billion_!$BK$2:$BK$180  )</f>
        <v>1.4646</v>
      </c>
      <c r="K65" s="17" t="str">
        <f>_xlfn.XLOOKUP($A65,[8]hydro_power_generation_total!$A$2:$A$119,[8]hydro_power_generation_total!$BA$2:$BA$119 )</f>
        <v>601500</v>
      </c>
      <c r="L65" s="17" t="str">
        <f>_xlfn.XLOOKUP($A65,[9]ag_lnd_prcp_mm!$A$2:$A$182, [9]ag_lnd_prcp_mm!$BL$2:$BL$182)</f>
        <v>1187</v>
      </c>
      <c r="M65" s="17" t="str">
        <f>_xlfn.XLOOKUP($A65,[10]co2_pcap_cons!$A$2:$A$193, [10]co2_pcap_cons!$HQ$2:$HQ$193)</f>
        <v>0.773</v>
      </c>
      <c r="N65" s="17" t="str">
        <f>_xlfn.XLOOKUP($A65,[11]primary_forest_area_ha!$A$2:$A$193, [11]primary_forest_area_ha!$AD$2:$AD$193)</f>
        <v>395000</v>
      </c>
      <c r="O65" s="17" t="str">
        <f>_xlfn.XLOOKUP($A65,[12]en_mam_thrd_no!$A$2:$A$195,[12]en_mam_thrd_no!$G$2:$G$195)</f>
        <v>23</v>
      </c>
      <c r="P65" s="17" t="str">
        <f>_xlfn.XLOOKUP($A65,[13]en_fsh_thrd_no!$A$2:$A$195,[13]en_fsh_thrd_no!$G$2:$G$195)</f>
        <v>87</v>
      </c>
      <c r="Q65" s="17" t="str">
        <f>_xlfn.XLOOKUP($A65,[14]en_bir_thrd_no!$A$2:$A$195,[14]en_bir_thrd_no!$G$2:$G$195)</f>
        <v>25</v>
      </c>
      <c r="R65" s="17" t="str">
        <f>_xlfn.XLOOKUP($A65,[15]en_hpt_thrd_no!$A$2:$A$195,[15]en_hpt_thrd_no!$G$2:$G$195)</f>
        <v>128</v>
      </c>
      <c r="S65" s="17" t="str">
        <f>_xlfn.XLOOKUP($A65,[16]er_lnd_ptld_zs!$A$2:$A$194, [16]er_lnd_ptld_zs!$O$2:$O$194)</f>
        <v>15.3</v>
      </c>
      <c r="T65" s="17">
        <f>_xlfn.XLOOKUP($A65,[17]er_mrn_ptmr_zs!$A$2:$A$155,[17]er_mrn_ptmr_zs!$O$2:$O$155)</f>
        <v>0</v>
      </c>
    </row>
    <row r="66" spans="1:20" x14ac:dyDescent="0.2">
      <c r="A66" t="s">
        <v>193</v>
      </c>
      <c r="B66" t="s">
        <v>194</v>
      </c>
      <c r="C66" s="18" t="str">
        <f>_xlfn.XLOOKUP(A66,[1]Tabelle1!$A$2:$A$196,[1]Tabelle1!$C$2:$C$196)</f>
        <v>africa</v>
      </c>
      <c r="D66" t="s">
        <v>195</v>
      </c>
      <c r="E66" s="17" t="str">
        <f>_xlfn.XLOOKUP(A66,[2]lex!$A$2:$A$195, [2]lex!$HU$2:$HU$195)</f>
        <v>63.01</v>
      </c>
      <c r="F66" s="17" t="str">
        <f>_xlfn.XLOOKUP(A66,[3]gdp_pcap!$A$2:$A$194,[3]gdp_pcap!$HT$2:$HT$194 )</f>
        <v>4320.52378</v>
      </c>
      <c r="G66" s="17" t="str">
        <f>_xlfn.XLOOKUP($A66,[4]ag_lnd_totl_k2!$A$2:$A$195, [4]ag_lnd_totl_k2!$BM$2:$BM$195)</f>
        <v>245720</v>
      </c>
      <c r="H66" s="17" t="str">
        <f>_xlfn.XLOOKUP($A66,[5]industrial_water_withdrawal_per!$A$2:$A$179,[5]industrial_water_withdrawal_per!$BH$2:$BH$179 )</f>
        <v>6.7416</v>
      </c>
      <c r="I66" s="17" t="str">
        <f>_xlfn.XLOOKUP($A66,[6]agricultural_water_withdrawal_p!$A$2:$A$180,[6]agricultural_water_withdrawal_p!$BH$2:$BH$180 )</f>
        <v>67.416</v>
      </c>
      <c r="J66" s="17" t="str">
        <f>_xlfn.XLOOKUP($A66,[7]total_water_withdrawal_billion_!$A$2:$A$180, [7]total_water_withdrawal_billion_!$BK$2:$BK$180  )</f>
        <v>0.89</v>
      </c>
      <c r="K66" s="17" t="e">
        <f>_xlfn.XLOOKUP($A66,[8]hydro_power_generation_total!$A$2:$A$119,[8]hydro_power_generation_total!$BA$2:$BA$119 )</f>
        <v>#N/A</v>
      </c>
      <c r="L66" s="17" t="str">
        <f>_xlfn.XLOOKUP($A66,[9]ag_lnd_prcp_mm!$A$2:$A$182, [9]ag_lnd_prcp_mm!$BL$2:$BL$182)</f>
        <v>1651</v>
      </c>
      <c r="M66" s="17" t="str">
        <f>_xlfn.XLOOKUP($A66,[10]co2_pcap_cons!$A$2:$A$193, [10]co2_pcap_cons!$HQ$2:$HQ$193)</f>
        <v>0.472</v>
      </c>
      <c r="N66" s="17" t="str">
        <f>_xlfn.XLOOKUP($A66,[11]primary_forest_area_ha!$A$2:$A$193, [11]primary_forest_area_ha!$AD$2:$AD$193)</f>
        <v>63000</v>
      </c>
      <c r="O66" s="17" t="str">
        <f>_xlfn.XLOOKUP($A66,[12]en_mam_thrd_no!$A$2:$A$195,[12]en_mam_thrd_no!$G$2:$G$195)</f>
        <v>32</v>
      </c>
      <c r="P66" s="17" t="str">
        <f>_xlfn.XLOOKUP($A66,[13]en_fsh_thrd_no!$A$2:$A$195,[13]en_fsh_thrd_no!$G$2:$G$195)</f>
        <v>119</v>
      </c>
      <c r="Q66" s="17" t="str">
        <f>_xlfn.XLOOKUP($A66,[14]en_bir_thrd_no!$A$2:$A$195,[14]en_bir_thrd_no!$G$2:$G$195)</f>
        <v>22</v>
      </c>
      <c r="R66" s="17" t="str">
        <f>_xlfn.XLOOKUP($A66,[15]en_hpt_thrd_no!$A$2:$A$195,[15]en_hpt_thrd_no!$G$2:$G$195)</f>
        <v>221</v>
      </c>
      <c r="S66" s="17" t="str">
        <f>_xlfn.XLOOKUP($A66,[16]er_lnd_ptld_zs!$A$2:$A$194, [16]er_lnd_ptld_zs!$O$2:$O$194)</f>
        <v>42.6</v>
      </c>
      <c r="T66" s="17" t="str">
        <f>_xlfn.XLOOKUP($A66,[17]er_mrn_ptmr_zs!$A$2:$A$155,[17]er_mrn_ptmr_zs!$O$2:$O$155)</f>
        <v>0.6</v>
      </c>
    </row>
    <row r="67" spans="1:20" x14ac:dyDescent="0.2">
      <c r="A67" t="s">
        <v>196</v>
      </c>
      <c r="B67" t="s">
        <v>197</v>
      </c>
      <c r="C67" s="18" t="str">
        <f>_xlfn.XLOOKUP(A67,[1]Tabelle1!$A$2:$A$196,[1]Tabelle1!$C$2:$C$196)</f>
        <v>africa</v>
      </c>
      <c r="D67" t="s">
        <v>198</v>
      </c>
      <c r="E67" s="17" t="str">
        <f>_xlfn.XLOOKUP(A67,[2]lex!$A$2:$A$195, [2]lex!$HU$2:$HU$195)</f>
        <v>67.91</v>
      </c>
      <c r="F67" s="17" t="str">
        <f>_xlfn.XLOOKUP(A67,[3]gdp_pcap!$A$2:$A$194,[3]gdp_pcap!$HT$2:$HT$194 )</f>
        <v>3199.30847</v>
      </c>
      <c r="G67" s="17" t="str">
        <f>_xlfn.XLOOKUP($A67,[4]ag_lnd_totl_k2!$A$2:$A$195, [4]ag_lnd_totl_k2!$BM$2:$BM$195)</f>
        <v>10120</v>
      </c>
      <c r="H67" s="17" t="str">
        <f>_xlfn.XLOOKUP($A67,[5]industrial_water_withdrawal_per!$A$2:$A$179,[5]industrial_water_withdrawal_per!$BH$2:$BH$179 )</f>
        <v>20.866</v>
      </c>
      <c r="I67" s="17" t="str">
        <f>_xlfn.XLOOKUP($A67,[6]agricultural_water_withdrawal_p!$A$2:$A$180,[6]agricultural_water_withdrawal_p!$BH$2:$BH$180 )</f>
        <v>38.583</v>
      </c>
      <c r="J67" s="17" t="str">
        <f>_xlfn.XLOOKUP($A67,[7]total_water_withdrawal_billion_!$A$2:$A$180, [7]total_water_withdrawal_billion_!$BK$2:$BK$180  )</f>
        <v>0.1016</v>
      </c>
      <c r="K67" s="17" t="e">
        <f>_xlfn.XLOOKUP($A67,[8]hydro_power_generation_total!$A$2:$A$119,[8]hydro_power_generation_total!$BA$2:$BA$119 )</f>
        <v>#N/A</v>
      </c>
      <c r="L67" s="17" t="str">
        <f>_xlfn.XLOOKUP($A67,[9]ag_lnd_prcp_mm!$A$2:$A$182, [9]ag_lnd_prcp_mm!$BL$2:$BL$182)</f>
        <v>836</v>
      </c>
      <c r="M67" s="17" t="str">
        <f>_xlfn.XLOOKUP($A67,[10]co2_pcap_cons!$A$2:$A$193, [10]co2_pcap_cons!$HQ$2:$HQ$193)</f>
        <v>0.293</v>
      </c>
      <c r="N67" s="17" t="str">
        <f>_xlfn.XLOOKUP($A67,[11]primary_forest_area_ha!$A$2:$A$193, [11]primary_forest_area_ha!$AD$2:$AD$193)</f>
        <v>800</v>
      </c>
      <c r="O67" s="17" t="str">
        <f>_xlfn.XLOOKUP($A67,[12]en_mam_thrd_no!$A$2:$A$195,[12]en_mam_thrd_no!$G$2:$G$195)</f>
        <v>10</v>
      </c>
      <c r="P67" s="17" t="str">
        <f>_xlfn.XLOOKUP($A67,[13]en_fsh_thrd_no!$A$2:$A$195,[13]en_fsh_thrd_no!$G$2:$G$195)</f>
        <v>80</v>
      </c>
      <c r="Q67" s="17" t="str">
        <f>_xlfn.XLOOKUP($A67,[14]en_bir_thrd_no!$A$2:$A$195,[14]en_bir_thrd_no!$G$2:$G$195)</f>
        <v>20</v>
      </c>
      <c r="R67" s="17" t="str">
        <f>_xlfn.XLOOKUP($A67,[15]en_hpt_thrd_no!$A$2:$A$195,[15]en_hpt_thrd_no!$G$2:$G$195)</f>
        <v>6</v>
      </c>
      <c r="S67" s="17" t="str">
        <f>_xlfn.XLOOKUP($A67,[16]er_lnd_ptld_zs!$A$2:$A$194, [16]er_lnd_ptld_zs!$O$2:$O$194)</f>
        <v>7.7</v>
      </c>
      <c r="T67" s="17" t="str">
        <f>_xlfn.XLOOKUP($A67,[17]er_mrn_ptmr_zs!$A$2:$A$155,[17]er_mrn_ptmr_zs!$O$2:$O$155)</f>
        <v>0.7</v>
      </c>
    </row>
    <row r="68" spans="1:20" x14ac:dyDescent="0.2">
      <c r="A68" t="s">
        <v>199</v>
      </c>
      <c r="B68" t="s">
        <v>200</v>
      </c>
      <c r="C68" s="18" t="str">
        <f>_xlfn.XLOOKUP(A68,[1]Tabelle1!$A$2:$A$196,[1]Tabelle1!$C$2:$C$196)</f>
        <v>africa</v>
      </c>
      <c r="D68" t="s">
        <v>201</v>
      </c>
      <c r="E68" s="17" t="str">
        <f>_xlfn.XLOOKUP(A68,[2]lex!$A$2:$A$195, [2]lex!$HU$2:$HU$195)</f>
        <v>61.68</v>
      </c>
      <c r="F68" s="17" t="str">
        <f>_xlfn.XLOOKUP(A68,[3]gdp_pcap!$A$2:$A$194,[3]gdp_pcap!$HT$2:$HT$194 )</f>
        <v>2838.37582</v>
      </c>
      <c r="G68" s="17" t="str">
        <f>_xlfn.XLOOKUP($A68,[4]ag_lnd_totl_k2!$A$2:$A$195, [4]ag_lnd_totl_k2!$BM$2:$BM$195)</f>
        <v>28120</v>
      </c>
      <c r="H68" s="17" t="str">
        <f>_xlfn.XLOOKUP($A68,[5]industrial_water_withdrawal_per!$A$2:$A$179,[5]industrial_water_withdrawal_per!$BH$2:$BH$179 )</f>
        <v>6.2632</v>
      </c>
      <c r="I68" s="17" t="str">
        <f>_xlfn.XLOOKUP($A68,[6]agricultural_water_withdrawal_p!$A$2:$A$180,[6]agricultural_water_withdrawal_p!$BH$2:$BH$180 )</f>
        <v>75.789</v>
      </c>
      <c r="J68" s="17" t="str">
        <f>_xlfn.XLOOKUP($A68,[7]total_water_withdrawal_billion_!$A$2:$A$180, [7]total_water_withdrawal_billion_!$BK$2:$BK$180  )</f>
        <v>0.19</v>
      </c>
      <c r="K68" s="17" t="e">
        <f>_xlfn.XLOOKUP($A68,[8]hydro_power_generation_total!$A$2:$A$119,[8]hydro_power_generation_total!$BA$2:$BA$119 )</f>
        <v>#N/A</v>
      </c>
      <c r="L68" s="17" t="str">
        <f>_xlfn.XLOOKUP($A68,[9]ag_lnd_prcp_mm!$A$2:$A$182, [9]ag_lnd_prcp_mm!$BL$2:$BL$182)</f>
        <v>1577</v>
      </c>
      <c r="M68" s="17" t="str">
        <f>_xlfn.XLOOKUP($A68,[10]co2_pcap_cons!$A$2:$A$193, [10]co2_pcap_cons!$HQ$2:$HQ$193)</f>
        <v>0.198</v>
      </c>
      <c r="N68" s="17">
        <f>_xlfn.XLOOKUP($A68,[11]primary_forest_area_ha!$A$2:$A$193, [11]primary_forest_area_ha!$AD$2:$AD$193)</f>
        <v>0</v>
      </c>
      <c r="O68" s="17" t="str">
        <f>_xlfn.XLOOKUP($A68,[12]en_mam_thrd_no!$A$2:$A$195,[12]en_mam_thrd_no!$G$2:$G$195)</f>
        <v>15</v>
      </c>
      <c r="P68" s="17" t="str">
        <f>_xlfn.XLOOKUP($A68,[13]en_fsh_thrd_no!$A$2:$A$195,[13]en_fsh_thrd_no!$G$2:$G$195)</f>
        <v>70</v>
      </c>
      <c r="Q68" s="17" t="str">
        <f>_xlfn.XLOOKUP($A68,[14]en_bir_thrd_no!$A$2:$A$195,[14]en_bir_thrd_no!$G$2:$G$195)</f>
        <v>15</v>
      </c>
      <c r="R68" s="17" t="str">
        <f>_xlfn.XLOOKUP($A68,[15]en_hpt_thrd_no!$A$2:$A$195,[15]en_hpt_thrd_no!$G$2:$G$195)</f>
        <v>12</v>
      </c>
      <c r="S68" s="17" t="str">
        <f>_xlfn.XLOOKUP($A68,[16]er_lnd_ptld_zs!$A$2:$A$194, [16]er_lnd_ptld_zs!$O$2:$O$194)</f>
        <v>26.2</v>
      </c>
      <c r="T68" s="17" t="str">
        <f>_xlfn.XLOOKUP($A68,[17]er_mrn_ptmr_zs!$A$2:$A$155,[17]er_mrn_ptmr_zs!$O$2:$O$155)</f>
        <v>9.1</v>
      </c>
    </row>
    <row r="69" spans="1:20" x14ac:dyDescent="0.2">
      <c r="A69" t="s">
        <v>202</v>
      </c>
      <c r="B69" t="s">
        <v>203</v>
      </c>
      <c r="C69" s="18" t="str">
        <f>_xlfn.XLOOKUP(A69,[1]Tabelle1!$A$2:$A$196,[1]Tabelle1!$C$2:$C$196)</f>
        <v>africa</v>
      </c>
      <c r="D69" t="s">
        <v>204</v>
      </c>
      <c r="E69" s="17" t="str">
        <f>_xlfn.XLOOKUP(A69,[2]lex!$A$2:$A$195, [2]lex!$HU$2:$HU$195)</f>
        <v>61.88</v>
      </c>
      <c r="F69" s="17" t="str">
        <f>_xlfn.XLOOKUP(A69,[3]gdp_pcap!$A$2:$A$194,[3]gdp_pcap!$HT$2:$HT$194 )</f>
        <v>14767.56593</v>
      </c>
      <c r="G69" s="17" t="str">
        <f>_xlfn.XLOOKUP($A69,[4]ag_lnd_totl_k2!$A$2:$A$195, [4]ag_lnd_totl_k2!$BM$2:$BM$195)</f>
        <v>28050</v>
      </c>
      <c r="H69" s="17" t="str">
        <f>_xlfn.XLOOKUP($A69,[5]industrial_water_withdrawal_per!$A$2:$A$179,[5]industrial_water_withdrawal_per!$BH$2:$BH$179 )</f>
        <v>15.152</v>
      </c>
      <c r="I69" s="17" t="str">
        <f>_xlfn.XLOOKUP($A69,[6]agricultural_water_withdrawal_p!$A$2:$A$180,[6]agricultural_water_withdrawal_p!$BH$2:$BH$180 )</f>
        <v>5.0505</v>
      </c>
      <c r="J69" s="17" t="str">
        <f>_xlfn.XLOOKUP($A69,[7]total_water_withdrawal_billion_!$A$2:$A$180, [7]total_water_withdrawal_billion_!$BK$2:$BK$180  )</f>
        <v>0.0198</v>
      </c>
      <c r="K69" s="17" t="e">
        <f>_xlfn.XLOOKUP($A69,[8]hydro_power_generation_total!$A$2:$A$119,[8]hydro_power_generation_total!$BA$2:$BA$119 )</f>
        <v>#N/A</v>
      </c>
      <c r="L69" s="17" t="str">
        <f>_xlfn.XLOOKUP($A69,[9]ag_lnd_prcp_mm!$A$2:$A$182, [9]ag_lnd_prcp_mm!$BL$2:$BL$182)</f>
        <v>2156</v>
      </c>
      <c r="M69" s="17" t="str">
        <f>_xlfn.XLOOKUP($A69,[10]co2_pcap_cons!$A$2:$A$193, [10]co2_pcap_cons!$HQ$2:$HQ$193)</f>
        <v>4.75</v>
      </c>
      <c r="N69" s="17">
        <f>_xlfn.XLOOKUP($A69,[11]primary_forest_area_ha!$A$2:$A$193, [11]primary_forest_area_ha!$AD$2:$AD$193)</f>
        <v>0</v>
      </c>
      <c r="O69" s="17" t="str">
        <f>_xlfn.XLOOKUP($A69,[12]en_mam_thrd_no!$A$2:$A$195,[12]en_mam_thrd_no!$G$2:$G$195)</f>
        <v>24</v>
      </c>
      <c r="P69" s="17" t="str">
        <f>_xlfn.XLOOKUP($A69,[13]en_fsh_thrd_no!$A$2:$A$195,[13]en_fsh_thrd_no!$G$2:$G$195)</f>
        <v>82</v>
      </c>
      <c r="Q69" s="17" t="str">
        <f>_xlfn.XLOOKUP($A69,[14]en_bir_thrd_no!$A$2:$A$195,[14]en_bir_thrd_no!$G$2:$G$195)</f>
        <v>3</v>
      </c>
      <c r="R69" s="17" t="str">
        <f>_xlfn.XLOOKUP($A69,[15]en_hpt_thrd_no!$A$2:$A$195,[15]en_hpt_thrd_no!$G$2:$G$195)</f>
        <v>165</v>
      </c>
      <c r="S69" s="17" t="str">
        <f>_xlfn.XLOOKUP($A69,[16]er_lnd_ptld_zs!$A$2:$A$194, [16]er_lnd_ptld_zs!$O$2:$O$194)</f>
        <v>19</v>
      </c>
      <c r="T69" s="17" t="str">
        <f>_xlfn.XLOOKUP($A69,[17]er_mrn_ptmr_zs!$A$2:$A$155,[17]er_mrn_ptmr_zs!$O$2:$O$155)</f>
        <v>0.3</v>
      </c>
    </row>
    <row r="70" spans="1:20" x14ac:dyDescent="0.2">
      <c r="A70" t="s">
        <v>205</v>
      </c>
      <c r="B70" t="s">
        <v>206</v>
      </c>
      <c r="C70" s="18" t="str">
        <f>_xlfn.XLOOKUP(A70,[1]Tabelle1!$A$2:$A$196,[1]Tabelle1!$C$2:$C$196)</f>
        <v>europe</v>
      </c>
      <c r="D70" t="s">
        <v>207</v>
      </c>
      <c r="E70" s="17" t="str">
        <f>_xlfn.XLOOKUP(A70,[2]lex!$A$2:$A$195, [2]lex!$HU$2:$HU$195)</f>
        <v>81.49</v>
      </c>
      <c r="F70" s="17" t="str">
        <f>_xlfn.XLOOKUP(A70,[3]gdp_pcap!$A$2:$A$194,[3]gdp_pcap!$HT$2:$HT$194 )</f>
        <v>39621.40673</v>
      </c>
      <c r="G70" s="17" t="str">
        <f>_xlfn.XLOOKUP($A70,[4]ag_lnd_totl_k2!$A$2:$A$195, [4]ag_lnd_totl_k2!$BM$2:$BM$195)</f>
        <v>128900</v>
      </c>
      <c r="H70" s="17" t="str">
        <f>_xlfn.XLOOKUP($A70,[5]industrial_water_withdrawal_per!$A$2:$A$179,[5]industrial_water_withdrawal_per!$BH$2:$BH$179 )</f>
        <v>2.7774</v>
      </c>
      <c r="I70" s="17" t="str">
        <f>_xlfn.XLOOKUP($A70,[6]agricultural_water_withdrawal_p!$A$2:$A$180,[6]agricultural_water_withdrawal_p!$BH$2:$BH$180 )</f>
        <v>80.474</v>
      </c>
      <c r="J70" s="17" t="str">
        <f>_xlfn.XLOOKUP($A70,[7]total_water_withdrawal_billion_!$A$2:$A$180, [7]total_water_withdrawal_billion_!$BK$2:$BK$180  )</f>
        <v>10.074</v>
      </c>
      <c r="K70" s="17" t="str">
        <f>_xlfn.XLOOKUP($A70,[8]hydro_power_generation_total!$A$2:$A$119,[8]hydro_power_generation_total!$BA$2:$BA$119 )</f>
        <v>641400</v>
      </c>
      <c r="L70" s="17" t="str">
        <f>_xlfn.XLOOKUP($A70,[9]ag_lnd_prcp_mm!$A$2:$A$182, [9]ag_lnd_prcp_mm!$BL$2:$BL$182)</f>
        <v>652</v>
      </c>
      <c r="M70" s="17" t="str">
        <f>_xlfn.XLOOKUP($A70,[10]co2_pcap_cons!$A$2:$A$193, [10]co2_pcap_cons!$HQ$2:$HQ$193)</f>
        <v>5.274</v>
      </c>
      <c r="N70" s="17">
        <f>_xlfn.XLOOKUP($A70,[11]primary_forest_area_ha!$A$2:$A$193, [11]primary_forest_area_ha!$AD$2:$AD$193)</f>
        <v>0</v>
      </c>
      <c r="O70" s="17" t="str">
        <f>_xlfn.XLOOKUP($A70,[12]en_mam_thrd_no!$A$2:$A$195,[12]en_mam_thrd_no!$G$2:$G$195)</f>
        <v>12</v>
      </c>
      <c r="P70" s="17" t="str">
        <f>_xlfn.XLOOKUP($A70,[13]en_fsh_thrd_no!$A$2:$A$195,[13]en_fsh_thrd_no!$G$2:$G$195)</f>
        <v>98</v>
      </c>
      <c r="Q70" s="17" t="str">
        <f>_xlfn.XLOOKUP($A70,[14]en_bir_thrd_no!$A$2:$A$195,[14]en_bir_thrd_no!$G$2:$G$195)</f>
        <v>19</v>
      </c>
      <c r="R70" s="17" t="str">
        <f>_xlfn.XLOOKUP($A70,[15]en_hpt_thrd_no!$A$2:$A$195,[15]en_hpt_thrd_no!$G$2:$G$195)</f>
        <v>86</v>
      </c>
      <c r="S70" s="17" t="str">
        <f>_xlfn.XLOOKUP($A70,[16]er_lnd_ptld_zs!$A$2:$A$194, [16]er_lnd_ptld_zs!$O$2:$O$194)</f>
        <v>35</v>
      </c>
      <c r="T70" s="17" t="str">
        <f>_xlfn.XLOOKUP($A70,[17]er_mrn_ptmr_zs!$A$2:$A$155,[17]er_mrn_ptmr_zs!$O$2:$O$155)</f>
        <v>4.7</v>
      </c>
    </row>
    <row r="71" spans="1:20" x14ac:dyDescent="0.2">
      <c r="A71" t="s">
        <v>208</v>
      </c>
      <c r="B71" t="s">
        <v>209</v>
      </c>
      <c r="C71" s="18" t="str">
        <f>_xlfn.XLOOKUP(A71,[1]Tabelle1!$A$2:$A$196,[1]Tabelle1!$C$2:$C$196)</f>
        <v>americas</v>
      </c>
      <c r="D71" t="s">
        <v>210</v>
      </c>
      <c r="E71" s="17" t="str">
        <f>_xlfn.XLOOKUP(A71,[2]lex!$A$2:$A$195, [2]lex!$HU$2:$HU$195)</f>
        <v>75.7</v>
      </c>
      <c r="F71" s="17" t="str">
        <f>_xlfn.XLOOKUP(A71,[3]gdp_pcap!$A$2:$A$194,[3]gdp_pcap!$HT$2:$HT$194 )</f>
        <v>18821.06954</v>
      </c>
      <c r="G71" s="17" t="str">
        <f>_xlfn.XLOOKUP($A71,[4]ag_lnd_totl_k2!$A$2:$A$195, [4]ag_lnd_totl_k2!$BM$2:$BM$195)</f>
        <v>340</v>
      </c>
      <c r="H71" s="17">
        <f>_xlfn.XLOOKUP($A71,[5]industrial_water_withdrawal_per!$A$2:$A$179,[5]industrial_water_withdrawal_per!$BH$2:$BH$179 )</f>
        <v>0</v>
      </c>
      <c r="I71" s="17" t="str">
        <f>_xlfn.XLOOKUP($A71,[6]agricultural_water_withdrawal_p!$A$2:$A$180,[6]agricultural_water_withdrawal_p!$BH$2:$BH$180 )</f>
        <v>14.894</v>
      </c>
      <c r="J71" s="17" t="str">
        <f>_xlfn.XLOOKUP($A71,[7]total_water_withdrawal_billion_!$A$2:$A$180, [7]total_water_withdrawal_billion_!$BK$2:$BK$180  )</f>
        <v>0.0141</v>
      </c>
      <c r="K71" s="17" t="e">
        <f>_xlfn.XLOOKUP($A71,[8]hydro_power_generation_total!$A$2:$A$119,[8]hydro_power_generation_total!$BA$2:$BA$119 )</f>
        <v>#N/A</v>
      </c>
      <c r="L71" s="17" t="str">
        <f>_xlfn.XLOOKUP($A71,[9]ag_lnd_prcp_mm!$A$2:$A$182, [9]ag_lnd_prcp_mm!$BL$2:$BL$182)</f>
        <v>2350</v>
      </c>
      <c r="M71" s="17" t="str">
        <f>_xlfn.XLOOKUP($A71,[10]co2_pcap_cons!$A$2:$A$193, [10]co2_pcap_cons!$HQ$2:$HQ$193)</f>
        <v>2.454</v>
      </c>
      <c r="N71" s="17" t="str">
        <f>_xlfn.XLOOKUP($A71,[11]primary_forest_area_ha!$A$2:$A$193, [11]primary_forest_area_ha!$AD$2:$AD$193)</f>
        <v>2320</v>
      </c>
      <c r="O71" s="17" t="str">
        <f>_xlfn.XLOOKUP($A71,[12]en_mam_thrd_no!$A$2:$A$195,[12]en_mam_thrd_no!$G$2:$G$195)</f>
        <v>3</v>
      </c>
      <c r="P71" s="17" t="str">
        <f>_xlfn.XLOOKUP($A71,[13]en_fsh_thrd_no!$A$2:$A$195,[13]en_fsh_thrd_no!$G$2:$G$195)</f>
        <v>49</v>
      </c>
      <c r="Q71" s="17" t="str">
        <f>_xlfn.XLOOKUP($A71,[14]en_bir_thrd_no!$A$2:$A$195,[14]en_bir_thrd_no!$G$2:$G$195)</f>
        <v>2</v>
      </c>
      <c r="R71" s="17" t="str">
        <f>_xlfn.XLOOKUP($A71,[15]en_hpt_thrd_no!$A$2:$A$195,[15]en_hpt_thrd_no!$G$2:$G$195)</f>
        <v>7</v>
      </c>
      <c r="S71" s="17" t="str">
        <f>_xlfn.XLOOKUP($A71,[16]er_lnd_ptld_zs!$A$2:$A$194, [16]er_lnd_ptld_zs!$O$2:$O$194)</f>
        <v>8.8</v>
      </c>
      <c r="T71" s="17" t="str">
        <f>_xlfn.XLOOKUP($A71,[17]er_mrn_ptmr_zs!$A$2:$A$155,[17]er_mrn_ptmr_zs!$O$2:$O$155)</f>
        <v>0.1</v>
      </c>
    </row>
    <row r="72" spans="1:20" x14ac:dyDescent="0.2">
      <c r="A72" t="s">
        <v>211</v>
      </c>
      <c r="B72" t="s">
        <v>212</v>
      </c>
      <c r="C72" s="18" t="str">
        <f>_xlfn.XLOOKUP(A72,[1]Tabelle1!$A$2:$A$196,[1]Tabelle1!$C$2:$C$196)</f>
        <v>americas</v>
      </c>
      <c r="D72" t="s">
        <v>213</v>
      </c>
      <c r="E72" s="17" t="str">
        <f>_xlfn.XLOOKUP(A72,[2]lex!$A$2:$A$195, [2]lex!$HU$2:$HU$195)</f>
        <v>73.6</v>
      </c>
      <c r="F72" s="17" t="str">
        <f>_xlfn.XLOOKUP(A72,[3]gdp_pcap!$A$2:$A$194,[3]gdp_pcap!$HT$2:$HT$194 )</f>
        <v>13328.77649</v>
      </c>
      <c r="G72" s="17" t="str">
        <f>_xlfn.XLOOKUP($A72,[4]ag_lnd_totl_k2!$A$2:$A$195, [4]ag_lnd_totl_k2!$BM$2:$BM$195)</f>
        <v>107160</v>
      </c>
      <c r="H72" s="17" t="str">
        <f>_xlfn.XLOOKUP($A72,[5]industrial_water_withdrawal_per!$A$2:$A$179,[5]industrial_water_withdrawal_per!$BH$2:$BH$179 )</f>
        <v>18.143</v>
      </c>
      <c r="I72" s="17" t="str">
        <f>_xlfn.XLOOKUP($A72,[6]agricultural_water_withdrawal_p!$A$2:$A$180,[6]agricultural_water_withdrawal_p!$BH$2:$BH$180 )</f>
        <v>56.737</v>
      </c>
      <c r="J72" s="17" t="str">
        <f>_xlfn.XLOOKUP($A72,[7]total_water_withdrawal_billion_!$A$2:$A$180, [7]total_water_withdrawal_billion_!$BK$2:$BK$180  )</f>
        <v>3.3241</v>
      </c>
      <c r="K72" s="17" t="str">
        <f>_xlfn.XLOOKUP($A72,[8]hydro_power_generation_total!$A$2:$A$119,[8]hydro_power_generation_total!$BA$2:$BA$119 )</f>
        <v>283200</v>
      </c>
      <c r="L72" s="17" t="str">
        <f>_xlfn.XLOOKUP($A72,[9]ag_lnd_prcp_mm!$A$2:$A$182, [9]ag_lnd_prcp_mm!$BL$2:$BL$182)</f>
        <v>1996</v>
      </c>
      <c r="M72" s="17" t="str">
        <f>_xlfn.XLOOKUP($A72,[10]co2_pcap_cons!$A$2:$A$193, [10]co2_pcap_cons!$HQ$2:$HQ$193)</f>
        <v>1.34</v>
      </c>
      <c r="N72" s="17" t="str">
        <f>_xlfn.XLOOKUP($A72,[11]primary_forest_area_ha!$A$2:$A$193, [11]primary_forest_area_ha!$AD$2:$AD$193)</f>
        <v>1334000</v>
      </c>
      <c r="O72" s="17" t="str">
        <f>_xlfn.XLOOKUP($A72,[12]en_mam_thrd_no!$A$2:$A$195,[12]en_mam_thrd_no!$G$2:$G$195)</f>
        <v>16</v>
      </c>
      <c r="P72" s="17" t="str">
        <f>_xlfn.XLOOKUP($A72,[13]en_fsh_thrd_no!$A$2:$A$195,[13]en_fsh_thrd_no!$G$2:$G$195)</f>
        <v>96</v>
      </c>
      <c r="Q72" s="17" t="str">
        <f>_xlfn.XLOOKUP($A72,[14]en_bir_thrd_no!$A$2:$A$195,[14]en_bir_thrd_no!$G$2:$G$195)</f>
        <v>19</v>
      </c>
      <c r="R72" s="17" t="str">
        <f>_xlfn.XLOOKUP($A72,[15]en_hpt_thrd_no!$A$2:$A$195,[15]en_hpt_thrd_no!$G$2:$G$195)</f>
        <v>364</v>
      </c>
      <c r="S72" s="17" t="str">
        <f>_xlfn.XLOOKUP($A72,[16]er_lnd_ptld_zs!$A$2:$A$194, [16]er_lnd_ptld_zs!$O$2:$O$194)</f>
        <v>20.1</v>
      </c>
      <c r="T72" s="17" t="str">
        <f>_xlfn.XLOOKUP($A72,[17]er_mrn_ptmr_zs!$A$2:$A$155,[17]er_mrn_ptmr_zs!$O$2:$O$155)</f>
        <v>0.9</v>
      </c>
    </row>
    <row r="73" spans="1:20" x14ac:dyDescent="0.2">
      <c r="A73" t="s">
        <v>214</v>
      </c>
      <c r="B73" t="s">
        <v>215</v>
      </c>
      <c r="C73" s="18" t="str">
        <f>_xlfn.XLOOKUP(A73,[1]Tabelle1!$A$2:$A$196,[1]Tabelle1!$C$2:$C$196)</f>
        <v>americas</v>
      </c>
      <c r="D73" t="s">
        <v>216</v>
      </c>
      <c r="E73" s="17" t="str">
        <f>_xlfn.XLOOKUP(A73,[2]lex!$A$2:$A$195, [2]lex!$HU$2:$HU$195)</f>
        <v>69.39</v>
      </c>
      <c r="F73" s="17" t="str">
        <f>_xlfn.XLOOKUP(A73,[3]gdp_pcap!$A$2:$A$194,[3]gdp_pcap!$HT$2:$HT$194 )</f>
        <v>79370.52198</v>
      </c>
      <c r="G73" s="17" t="str">
        <f>_xlfn.XLOOKUP($A73,[4]ag_lnd_totl_k2!$A$2:$A$195, [4]ag_lnd_totl_k2!$BM$2:$BM$195)</f>
        <v>211140</v>
      </c>
      <c r="H73" s="17" t="str">
        <f>_xlfn.XLOOKUP($A73,[5]industrial_water_withdrawal_per!$A$2:$A$179,[5]industrial_water_withdrawal_per!$BH$2:$BH$179 )</f>
        <v>1.4121</v>
      </c>
      <c r="I73" s="17" t="str">
        <f>_xlfn.XLOOKUP($A73,[6]agricultural_water_withdrawal_p!$A$2:$A$180,[6]agricultural_water_withdrawal_p!$BH$2:$BH$180 )</f>
        <v>94.345</v>
      </c>
      <c r="J73" s="17" t="str">
        <f>_xlfn.XLOOKUP($A73,[7]total_water_withdrawal_billion_!$A$2:$A$180, [7]total_water_withdrawal_billion_!$BK$2:$BK$180  )</f>
        <v>1.4447</v>
      </c>
      <c r="K73" s="17" t="e">
        <f>_xlfn.XLOOKUP($A73,[8]hydro_power_generation_total!$A$2:$A$119,[8]hydro_power_generation_total!$BA$2:$BA$119 )</f>
        <v>#N/A</v>
      </c>
      <c r="L73" s="17" t="str">
        <f>_xlfn.XLOOKUP($A73,[9]ag_lnd_prcp_mm!$A$2:$A$182, [9]ag_lnd_prcp_mm!$BL$2:$BL$182)</f>
        <v>2387</v>
      </c>
      <c r="M73" s="17" t="str">
        <f>_xlfn.XLOOKUP($A73,[10]co2_pcap_cons!$A$2:$A$193, [10]co2_pcap_cons!$HQ$2:$HQ$193)</f>
        <v>3.153</v>
      </c>
      <c r="N73" s="17" t="str">
        <f>_xlfn.XLOOKUP($A73,[11]primary_forest_area_ha!$A$2:$A$193, [11]primary_forest_area_ha!$AD$2:$AD$193)</f>
        <v>6477000</v>
      </c>
      <c r="O73" s="17" t="str">
        <f>_xlfn.XLOOKUP($A73,[12]en_mam_thrd_no!$A$2:$A$195,[12]en_mam_thrd_no!$G$2:$G$195)</f>
        <v>11</v>
      </c>
      <c r="P73" s="17" t="str">
        <f>_xlfn.XLOOKUP($A73,[13]en_fsh_thrd_no!$A$2:$A$195,[13]en_fsh_thrd_no!$G$2:$G$195)</f>
        <v>68</v>
      </c>
      <c r="Q73" s="17" t="str">
        <f>_xlfn.XLOOKUP($A73,[14]en_bir_thrd_no!$A$2:$A$195,[14]en_bir_thrd_no!$G$2:$G$195)</f>
        <v>11</v>
      </c>
      <c r="R73" s="17" t="str">
        <f>_xlfn.XLOOKUP($A73,[15]en_hpt_thrd_no!$A$2:$A$195,[15]en_hpt_thrd_no!$G$2:$G$195)</f>
        <v>82</v>
      </c>
      <c r="S73" s="17" t="str">
        <f>_xlfn.XLOOKUP($A73,[16]er_lnd_ptld_zs!$A$2:$A$194, [16]er_lnd_ptld_zs!$O$2:$O$194)</f>
        <v>8.4</v>
      </c>
      <c r="T73" s="17">
        <f>_xlfn.XLOOKUP($A73,[17]er_mrn_ptmr_zs!$A$2:$A$155,[17]er_mrn_ptmr_zs!$O$2:$O$155)</f>
        <v>0</v>
      </c>
    </row>
    <row r="74" spans="1:20" x14ac:dyDescent="0.2">
      <c r="A74" t="s">
        <v>217</v>
      </c>
      <c r="B74" t="s">
        <v>218</v>
      </c>
      <c r="C74" s="18" t="str">
        <f>_xlfn.XLOOKUP(A74,[1]Tabelle1!$A$2:$A$196,[1]Tabelle1!$C$2:$C$196)</f>
        <v>americas</v>
      </c>
      <c r="D74" t="s">
        <v>219</v>
      </c>
      <c r="E74" s="17" t="str">
        <f>_xlfn.XLOOKUP(A74,[2]lex!$A$2:$A$195, [2]lex!$HU$2:$HU$195)</f>
        <v>76.62</v>
      </c>
      <c r="F74" s="17" t="str">
        <f>_xlfn.XLOOKUP(A74,[3]gdp_pcap!$A$2:$A$194,[3]gdp_pcap!$HT$2:$HT$194 )</f>
        <v>6863.33285</v>
      </c>
      <c r="G74" s="17" t="str">
        <f>_xlfn.XLOOKUP($A74,[4]ag_lnd_totl_k2!$A$2:$A$195, [4]ag_lnd_totl_k2!$BM$2:$BM$195)</f>
        <v>111890</v>
      </c>
      <c r="H74" s="17" t="str">
        <f>_xlfn.XLOOKUP($A74,[5]industrial_water_withdrawal_per!$A$2:$A$179,[5]industrial_water_withdrawal_per!$BH$2:$BH$179 )</f>
        <v>7.094</v>
      </c>
      <c r="I74" s="17" t="str">
        <f>_xlfn.XLOOKUP($A74,[6]agricultural_water_withdrawal_p!$A$2:$A$180,[6]agricultural_water_withdrawal_p!$BH$2:$BH$180 )</f>
        <v>73.304</v>
      </c>
      <c r="J74" s="17" t="str">
        <f>_xlfn.XLOOKUP($A74,[7]total_water_withdrawal_billion_!$A$2:$A$180, [7]total_water_withdrawal_billion_!$BK$2:$BK$180  )</f>
        <v>1.607</v>
      </c>
      <c r="K74" s="17" t="str">
        <f>_xlfn.XLOOKUP($A74,[8]hydro_power_generation_total!$A$2:$A$119,[8]hydro_power_generation_total!$BA$2:$BA$119 )</f>
        <v>255000</v>
      </c>
      <c r="L74" s="17" t="str">
        <f>_xlfn.XLOOKUP($A74,[9]ag_lnd_prcp_mm!$A$2:$A$182, [9]ag_lnd_prcp_mm!$BL$2:$BL$182)</f>
        <v>1976</v>
      </c>
      <c r="M74" s="17" t="str">
        <f>_xlfn.XLOOKUP($A74,[10]co2_pcap_cons!$A$2:$A$193, [10]co2_pcap_cons!$HQ$2:$HQ$193)</f>
        <v>0.876</v>
      </c>
      <c r="N74" s="17" t="str">
        <f>_xlfn.XLOOKUP($A74,[11]primary_forest_area_ha!$A$2:$A$193, [11]primary_forest_area_ha!$AD$2:$AD$193)</f>
        <v>457000</v>
      </c>
      <c r="O74" s="17" t="str">
        <f>_xlfn.XLOOKUP($A74,[12]en_mam_thrd_no!$A$2:$A$195,[12]en_mam_thrd_no!$G$2:$G$195)</f>
        <v>10</v>
      </c>
      <c r="P74" s="17" t="str">
        <f>_xlfn.XLOOKUP($A74,[13]en_fsh_thrd_no!$A$2:$A$195,[13]en_fsh_thrd_no!$G$2:$G$195)</f>
        <v>91</v>
      </c>
      <c r="Q74" s="17" t="str">
        <f>_xlfn.XLOOKUP($A74,[14]en_bir_thrd_no!$A$2:$A$195,[14]en_bir_thrd_no!$G$2:$G$195)</f>
        <v>18</v>
      </c>
      <c r="R74" s="17" t="str">
        <f>_xlfn.XLOOKUP($A74,[15]en_hpt_thrd_no!$A$2:$A$195,[15]en_hpt_thrd_no!$G$2:$G$195)</f>
        <v>193</v>
      </c>
      <c r="S74" s="17" t="str">
        <f>_xlfn.XLOOKUP($A74,[16]er_lnd_ptld_zs!$A$2:$A$194, [16]er_lnd_ptld_zs!$O$2:$O$194)</f>
        <v>23</v>
      </c>
      <c r="T74" s="17" t="str">
        <f>_xlfn.XLOOKUP($A74,[17]er_mrn_ptmr_zs!$A$2:$A$155,[17]er_mrn_ptmr_zs!$O$2:$O$155)</f>
        <v>4.9</v>
      </c>
    </row>
    <row r="75" spans="1:20" x14ac:dyDescent="0.2">
      <c r="A75" t="s">
        <v>220</v>
      </c>
      <c r="B75" t="s">
        <v>221</v>
      </c>
      <c r="C75" s="18" t="str">
        <f>_xlfn.XLOOKUP(A75,[1]Tabelle1!$A$2:$A$196,[1]Tabelle1!$C$2:$C$196)</f>
        <v>europe</v>
      </c>
      <c r="E75" s="17" t="e">
        <f>_xlfn.XLOOKUP(A75,[2]lex!$A$2:$A$195, [2]lex!$HU$2:$HU$195)</f>
        <v>#N/A</v>
      </c>
      <c r="F75" s="17" t="e">
        <f>_xlfn.XLOOKUP(A75,[3]gdp_pcap!$A$2:$A$194,[3]gdp_pcap!$HT$2:$HT$194 )</f>
        <v>#N/A</v>
      </c>
      <c r="G75" s="17" t="e">
        <f>_xlfn.XLOOKUP($A75,[4]ag_lnd_totl_k2!$A$2:$A$195, [4]ag_lnd_totl_k2!$BM$2:$BM$195)</f>
        <v>#N/A</v>
      </c>
      <c r="H75" s="17" t="e">
        <f>_xlfn.XLOOKUP($A75,[5]industrial_water_withdrawal_per!$A$2:$A$179,[5]industrial_water_withdrawal_per!$BH$2:$BH$179 )</f>
        <v>#N/A</v>
      </c>
      <c r="I75" s="17" t="e">
        <f>_xlfn.XLOOKUP($A75,[6]agricultural_water_withdrawal_p!$A$2:$A$180,[6]agricultural_water_withdrawal_p!$BH$2:$BH$180 )</f>
        <v>#N/A</v>
      </c>
      <c r="J75" s="17" t="e">
        <f>_xlfn.XLOOKUP($A75,[7]total_water_withdrawal_billion_!$A$2:$A$180, [7]total_water_withdrawal_billion_!$BK$2:$BK$180  )</f>
        <v>#N/A</v>
      </c>
      <c r="K75" s="17" t="e">
        <f>_xlfn.XLOOKUP($A75,[8]hydro_power_generation_total!$A$2:$A$119,[8]hydro_power_generation_total!$BA$2:$BA$119 )</f>
        <v>#N/A</v>
      </c>
      <c r="L75" s="17" t="e">
        <f>_xlfn.XLOOKUP($A75,[9]ag_lnd_prcp_mm!$A$2:$A$182, [9]ag_lnd_prcp_mm!$BL$2:$BL$182)</f>
        <v>#N/A</v>
      </c>
      <c r="M75" s="17" t="e">
        <f>_xlfn.XLOOKUP($A75,[10]co2_pcap_cons!$A$2:$A$193, [10]co2_pcap_cons!$HQ$2:$HQ$193)</f>
        <v>#N/A</v>
      </c>
      <c r="N75" s="17" t="e">
        <f>_xlfn.XLOOKUP($A75,[11]primary_forest_area_ha!$A$2:$A$193, [11]primary_forest_area_ha!$AD$2:$AD$193)</f>
        <v>#N/A</v>
      </c>
      <c r="O75" s="17" t="e">
        <f>_xlfn.XLOOKUP($A75,[12]en_mam_thrd_no!$A$2:$A$195,[12]en_mam_thrd_no!$G$2:$G$195)</f>
        <v>#N/A</v>
      </c>
      <c r="P75" s="17" t="e">
        <f>_xlfn.XLOOKUP($A75,[13]en_fsh_thrd_no!$A$2:$A$195,[13]en_fsh_thrd_no!$G$2:$G$195)</f>
        <v>#N/A</v>
      </c>
      <c r="Q75" s="17" t="e">
        <f>_xlfn.XLOOKUP($A75,[14]en_bir_thrd_no!$A$2:$A$195,[14]en_bir_thrd_no!$G$2:$G$195)</f>
        <v>#N/A</v>
      </c>
      <c r="R75" s="17" t="e">
        <f>_xlfn.XLOOKUP($A75,[15]en_hpt_thrd_no!$A$2:$A$195,[15]en_hpt_thrd_no!$G$2:$G$195)</f>
        <v>#N/A</v>
      </c>
      <c r="S75" s="17" t="e">
        <f>_xlfn.XLOOKUP($A75,[16]er_lnd_ptld_zs!$A$2:$A$194, [16]er_lnd_ptld_zs!$O$2:$O$194)</f>
        <v>#N/A</v>
      </c>
      <c r="T75" s="17" t="e">
        <f>_xlfn.XLOOKUP($A75,[17]er_mrn_ptmr_zs!$A$2:$A$155,[17]er_mrn_ptmr_zs!$O$2:$O$155)</f>
        <v>#N/A</v>
      </c>
    </row>
    <row r="76" spans="1:20" x14ac:dyDescent="0.2">
      <c r="A76" t="s">
        <v>222</v>
      </c>
      <c r="B76" t="s">
        <v>223</v>
      </c>
      <c r="C76" s="18" t="str">
        <f>_xlfn.XLOOKUP(A76,[1]Tabelle1!$A$2:$A$196,[1]Tabelle1!$C$2:$C$196)</f>
        <v>europe</v>
      </c>
      <c r="D76" t="s">
        <v>224</v>
      </c>
      <c r="E76" s="17" t="str">
        <f>_xlfn.XLOOKUP(A76,[2]lex!$A$2:$A$195, [2]lex!$HU$2:$HU$195)</f>
        <v>79.1</v>
      </c>
      <c r="F76" s="17" t="str">
        <f>_xlfn.XLOOKUP(A76,[3]gdp_pcap!$A$2:$A$194,[3]gdp_pcap!$HT$2:$HT$194 )</f>
        <v>45156.1289</v>
      </c>
      <c r="G76" s="17" t="str">
        <f>_xlfn.XLOOKUP($A76,[4]ag_lnd_totl_k2!$A$2:$A$195, [4]ag_lnd_totl_k2!$BM$2:$BM$195)</f>
        <v>55960</v>
      </c>
      <c r="H76" s="17" t="str">
        <f>_xlfn.XLOOKUP($A76,[5]industrial_water_withdrawal_per!$A$2:$A$179,[5]industrial_water_withdrawal_per!$BH$2:$BH$179 )</f>
        <v>46.752</v>
      </c>
      <c r="I76" s="17" t="str">
        <f>_xlfn.XLOOKUP($A76,[6]agricultural_water_withdrawal_p!$A$2:$A$180,[6]agricultural_water_withdrawal_p!$BH$2:$BH$180 )</f>
        <v>7.4803</v>
      </c>
      <c r="J76" s="17" t="str">
        <f>_xlfn.XLOOKUP($A76,[7]total_water_withdrawal_billion_!$A$2:$A$180, [7]total_water_withdrawal_billion_!$BK$2:$BK$180  )</f>
        <v>1.016</v>
      </c>
      <c r="K76" s="17" t="str">
        <f>_xlfn.XLOOKUP($A76,[8]hydro_power_generation_total!$A$2:$A$119,[8]hydro_power_generation_total!$BA$2:$BA$119 )</f>
        <v>716200</v>
      </c>
      <c r="L76" s="17" t="str">
        <f>_xlfn.XLOOKUP($A76,[9]ag_lnd_prcp_mm!$A$2:$A$182, [9]ag_lnd_prcp_mm!$BL$2:$BL$182)</f>
        <v>1113</v>
      </c>
      <c r="M76" s="17" t="str">
        <f>_xlfn.XLOOKUP($A76,[10]co2_pcap_cons!$A$2:$A$193, [10]co2_pcap_cons!$HQ$2:$HQ$193)</f>
        <v>5.944</v>
      </c>
      <c r="N76" s="17" t="str">
        <f>_xlfn.XLOOKUP($A76,[11]primary_forest_area_ha!$A$2:$A$193, [11]primary_forest_area_ha!$AD$2:$AD$193)</f>
        <v>7000</v>
      </c>
      <c r="O76" s="17" t="str">
        <f>_xlfn.XLOOKUP($A76,[12]en_mam_thrd_no!$A$2:$A$195,[12]en_mam_thrd_no!$G$2:$G$195)</f>
        <v>10</v>
      </c>
      <c r="P76" s="17" t="str">
        <f>_xlfn.XLOOKUP($A76,[13]en_fsh_thrd_no!$A$2:$A$195,[13]en_fsh_thrd_no!$G$2:$G$195)</f>
        <v>80</v>
      </c>
      <c r="Q76" s="17" t="str">
        <f>_xlfn.XLOOKUP($A76,[14]en_bir_thrd_no!$A$2:$A$195,[14]en_bir_thrd_no!$G$2:$G$195)</f>
        <v>16</v>
      </c>
      <c r="R76" s="17" t="str">
        <f>_xlfn.XLOOKUP($A76,[15]en_hpt_thrd_no!$A$2:$A$195,[15]en_hpt_thrd_no!$G$2:$G$195)</f>
        <v>11</v>
      </c>
      <c r="S76" s="17" t="str">
        <f>_xlfn.XLOOKUP($A76,[16]er_lnd_ptld_zs!$A$2:$A$194, [16]er_lnd_ptld_zs!$O$2:$O$194)</f>
        <v>38.4</v>
      </c>
      <c r="T76" s="17" t="str">
        <f>_xlfn.XLOOKUP($A76,[17]er_mrn_ptmr_zs!$A$2:$A$155,[17]er_mrn_ptmr_zs!$O$2:$O$155)</f>
        <v>9.3</v>
      </c>
    </row>
    <row r="77" spans="1:20" x14ac:dyDescent="0.2">
      <c r="A77" t="s">
        <v>225</v>
      </c>
      <c r="B77" t="s">
        <v>226</v>
      </c>
      <c r="C77" s="18" t="str">
        <f>_xlfn.XLOOKUP(A77,[1]Tabelle1!$A$2:$A$196,[1]Tabelle1!$C$2:$C$196)</f>
        <v>americas</v>
      </c>
      <c r="D77" t="s">
        <v>227</v>
      </c>
      <c r="E77" s="17" t="str">
        <f>_xlfn.XLOOKUP(A77,[2]lex!$A$2:$A$195, [2]lex!$HU$2:$HU$195)</f>
        <v>61.56</v>
      </c>
      <c r="F77" s="17" t="str">
        <f>_xlfn.XLOOKUP(A77,[3]gdp_pcap!$A$2:$A$194,[3]gdp_pcap!$HT$2:$HT$194 )</f>
        <v>2808.66975</v>
      </c>
      <c r="G77" s="17" t="str">
        <f>_xlfn.XLOOKUP($A77,[4]ag_lnd_totl_k2!$A$2:$A$195, [4]ag_lnd_totl_k2!$BM$2:$BM$195)</f>
        <v>27560</v>
      </c>
      <c r="H77" s="17" t="str">
        <f>_xlfn.XLOOKUP($A77,[5]industrial_water_withdrawal_per!$A$2:$A$179,[5]industrial_water_withdrawal_per!$BH$2:$BH$179 )</f>
        <v>3.5172</v>
      </c>
      <c r="I77" s="17" t="str">
        <f>_xlfn.XLOOKUP($A77,[6]agricultural_water_withdrawal_p!$A$2:$A$180,[6]agricultural_water_withdrawal_p!$BH$2:$BH$180 )</f>
        <v>83.379</v>
      </c>
      <c r="J77" s="17" t="str">
        <f>_xlfn.XLOOKUP($A77,[7]total_water_withdrawal_billion_!$A$2:$A$180, [7]total_water_withdrawal_billion_!$BK$2:$BK$180  )</f>
        <v>1.45</v>
      </c>
      <c r="K77" s="17" t="str">
        <f>_xlfn.XLOOKUP($A77,[8]hydro_power_generation_total!$A$2:$A$119,[8]hydro_power_generation_total!$BA$2:$BA$119 )</f>
        <v>15220</v>
      </c>
      <c r="L77" s="17" t="str">
        <f>_xlfn.XLOOKUP($A77,[9]ag_lnd_prcp_mm!$A$2:$A$182, [9]ag_lnd_prcp_mm!$BL$2:$BL$182)</f>
        <v>1440</v>
      </c>
      <c r="M77" s="17" t="str">
        <f>_xlfn.XLOOKUP($A77,[10]co2_pcap_cons!$A$2:$A$193, [10]co2_pcap_cons!$HQ$2:$HQ$193)</f>
        <v>0.272</v>
      </c>
      <c r="N77" s="17">
        <f>_xlfn.XLOOKUP($A77,[11]primary_forest_area_ha!$A$2:$A$193, [11]primary_forest_area_ha!$AD$2:$AD$193)</f>
        <v>0</v>
      </c>
      <c r="O77" s="17" t="str">
        <f>_xlfn.XLOOKUP($A77,[12]en_mam_thrd_no!$A$2:$A$195,[12]en_mam_thrd_no!$G$2:$G$195)</f>
        <v>3</v>
      </c>
      <c r="P77" s="17" t="str">
        <f>_xlfn.XLOOKUP($A77,[13]en_fsh_thrd_no!$A$2:$A$195,[13]en_fsh_thrd_no!$G$2:$G$195)</f>
        <v>61</v>
      </c>
      <c r="Q77" s="17" t="str">
        <f>_xlfn.XLOOKUP($A77,[14]en_bir_thrd_no!$A$2:$A$195,[14]en_bir_thrd_no!$G$2:$G$195)</f>
        <v>17</v>
      </c>
      <c r="R77" s="17" t="str">
        <f>_xlfn.XLOOKUP($A77,[15]en_hpt_thrd_no!$A$2:$A$195,[15]en_hpt_thrd_no!$G$2:$G$195)</f>
        <v>219</v>
      </c>
      <c r="S77" s="17" t="str">
        <f>_xlfn.XLOOKUP($A77,[16]er_lnd_ptld_zs!$A$2:$A$194, [16]er_lnd_ptld_zs!$O$2:$O$194)</f>
        <v>8.6</v>
      </c>
      <c r="T77" s="17" t="str">
        <f>_xlfn.XLOOKUP($A77,[17]er_mrn_ptmr_zs!$A$2:$A$155,[17]er_mrn_ptmr_zs!$O$2:$O$155)</f>
        <v>1.8</v>
      </c>
    </row>
    <row r="78" spans="1:20" x14ac:dyDescent="0.2">
      <c r="A78" t="s">
        <v>228</v>
      </c>
      <c r="B78" t="s">
        <v>229</v>
      </c>
      <c r="C78" s="18" t="str">
        <f>_xlfn.XLOOKUP(A78,[1]Tabelle1!$A$2:$A$196,[1]Tabelle1!$C$2:$C$196)</f>
        <v>europe</v>
      </c>
      <c r="D78" t="s">
        <v>230</v>
      </c>
      <c r="E78" s="17" t="str">
        <f>_xlfn.XLOOKUP(A78,[2]lex!$A$2:$A$195, [2]lex!$HU$2:$HU$195)</f>
        <v>77.3</v>
      </c>
      <c r="F78" s="17" t="str">
        <f>_xlfn.XLOOKUP(A78,[3]gdp_pcap!$A$2:$A$194,[3]gdp_pcap!$HT$2:$HT$194 )</f>
        <v>42498.58738</v>
      </c>
      <c r="G78" s="17" t="str">
        <f>_xlfn.XLOOKUP($A78,[4]ag_lnd_totl_k2!$A$2:$A$195, [4]ag_lnd_totl_k2!$BM$2:$BM$195)</f>
        <v>91260</v>
      </c>
      <c r="H78" s="17" t="str">
        <f>_xlfn.XLOOKUP($A78,[5]industrial_water_withdrawal_per!$A$2:$A$179,[5]industrial_water_withdrawal_per!$BH$2:$BH$179 )</f>
        <v>75.664</v>
      </c>
      <c r="I78" s="17" t="str">
        <f>_xlfn.XLOOKUP($A78,[6]agricultural_water_withdrawal_p!$A$2:$A$180,[6]agricultural_water_withdrawal_p!$BH$2:$BH$180 )</f>
        <v>11.047</v>
      </c>
      <c r="J78" s="17" t="str">
        <f>_xlfn.XLOOKUP($A78,[7]total_water_withdrawal_billion_!$A$2:$A$180, [7]total_water_withdrawal_billion_!$BK$2:$BK$180  )</f>
        <v>4.9663</v>
      </c>
      <c r="K78" s="17" t="str">
        <f>_xlfn.XLOOKUP($A78,[8]hydro_power_generation_total!$A$2:$A$119,[8]hydro_power_generation_total!$BA$2:$BA$119 )</f>
        <v>16170</v>
      </c>
      <c r="L78" s="17" t="str">
        <f>_xlfn.XLOOKUP($A78,[9]ag_lnd_prcp_mm!$A$2:$A$182, [9]ag_lnd_prcp_mm!$BL$2:$BL$182)</f>
        <v>589</v>
      </c>
      <c r="M78" s="17" t="str">
        <f>_xlfn.XLOOKUP($A78,[10]co2_pcap_cons!$A$2:$A$193, [10]co2_pcap_cons!$HQ$2:$HQ$193)</f>
        <v>6.41</v>
      </c>
      <c r="N78" s="17">
        <f>_xlfn.XLOOKUP($A78,[11]primary_forest_area_ha!$A$2:$A$193, [11]primary_forest_area_ha!$AD$2:$AD$193)</f>
        <v>0</v>
      </c>
      <c r="O78" s="17" t="str">
        <f>_xlfn.XLOOKUP($A78,[12]en_mam_thrd_no!$A$2:$A$195,[12]en_mam_thrd_no!$G$2:$G$195)</f>
        <v>6</v>
      </c>
      <c r="P78" s="17" t="str">
        <f>_xlfn.XLOOKUP($A78,[13]en_fsh_thrd_no!$A$2:$A$195,[13]en_fsh_thrd_no!$G$2:$G$195)</f>
        <v>11</v>
      </c>
      <c r="Q78" s="17" t="str">
        <f>_xlfn.XLOOKUP($A78,[14]en_bir_thrd_no!$A$2:$A$195,[14]en_bir_thrd_no!$G$2:$G$195)</f>
        <v>14</v>
      </c>
      <c r="R78" s="17" t="str">
        <f>_xlfn.XLOOKUP($A78,[15]en_hpt_thrd_no!$A$2:$A$195,[15]en_hpt_thrd_no!$G$2:$G$195)</f>
        <v>45</v>
      </c>
      <c r="S78" s="17" t="str">
        <f>_xlfn.XLOOKUP($A78,[16]er_lnd_ptld_zs!$A$2:$A$194, [16]er_lnd_ptld_zs!$O$2:$O$194)</f>
        <v>22.3</v>
      </c>
      <c r="T78" s="17" t="e">
        <f>_xlfn.XLOOKUP($A78,[17]er_mrn_ptmr_zs!$A$2:$A$155,[17]er_mrn_ptmr_zs!$O$2:$O$155)</f>
        <v>#N/A</v>
      </c>
    </row>
    <row r="79" spans="1:20" x14ac:dyDescent="0.2">
      <c r="A79" t="s">
        <v>231</v>
      </c>
      <c r="B79" t="s">
        <v>232</v>
      </c>
      <c r="C79" s="18" t="str">
        <f>_xlfn.XLOOKUP(A79,[1]Tabelle1!$A$2:$A$196,[1]Tabelle1!$C$2:$C$196)</f>
        <v>asia</v>
      </c>
      <c r="D79" t="s">
        <v>233</v>
      </c>
      <c r="E79" s="17" t="str">
        <f>_xlfn.XLOOKUP(A79,[2]lex!$A$2:$A$195, [2]lex!$HU$2:$HU$195)</f>
        <v>73.01</v>
      </c>
      <c r="F79" s="17" t="str">
        <f>_xlfn.XLOOKUP(A79,[3]gdp_pcap!$A$2:$A$194,[3]gdp_pcap!$HT$2:$HT$194 )</f>
        <v>15391.06911</v>
      </c>
      <c r="G79" s="17" t="str">
        <f>_xlfn.XLOOKUP($A79,[4]ag_lnd_totl_k2!$A$2:$A$195, [4]ag_lnd_totl_k2!$BM$2:$BM$195)</f>
        <v>1892555.47</v>
      </c>
      <c r="H79" s="17" t="str">
        <f>_xlfn.XLOOKUP($A79,[5]industrial_water_withdrawal_per!$A$2:$A$179,[5]industrial_water_withdrawal_per!$BH$2:$BH$179 )</f>
        <v>4.1031</v>
      </c>
      <c r="I79" s="17" t="str">
        <f>_xlfn.XLOOKUP($A79,[6]agricultural_water_withdrawal_p!$A$2:$A$180,[6]agricultural_water_withdrawal_p!$BH$2:$BH$180 )</f>
        <v>85.207</v>
      </c>
      <c r="J79" s="17" t="str">
        <f>_xlfn.XLOOKUP($A79,[7]total_water_withdrawal_billion_!$A$2:$A$180, [7]total_water_withdrawal_billion_!$BK$2:$BK$180  )</f>
        <v>222.63</v>
      </c>
      <c r="K79" s="17" t="str">
        <f>_xlfn.XLOOKUP($A79,[8]hydro_power_generation_total!$A$2:$A$119,[8]hydro_power_generation_total!$BA$2:$BA$119 )</f>
        <v>1520000</v>
      </c>
      <c r="L79" s="17" t="str">
        <f>_xlfn.XLOOKUP($A79,[9]ag_lnd_prcp_mm!$A$2:$A$182, [9]ag_lnd_prcp_mm!$BL$2:$BL$182)</f>
        <v>2702</v>
      </c>
      <c r="M79" s="17" t="str">
        <f>_xlfn.XLOOKUP($A79,[10]co2_pcap_cons!$A$2:$A$193, [10]co2_pcap_cons!$HQ$2:$HQ$193)</f>
        <v>2.361</v>
      </c>
      <c r="N79" s="17" t="str">
        <f>_xlfn.XLOOKUP($A79,[11]primary_forest_area_ha!$A$2:$A$193, [11]primary_forest_area_ha!$AD$2:$AD$193)</f>
        <v>46024000</v>
      </c>
      <c r="O79" s="17" t="str">
        <f>_xlfn.XLOOKUP($A79,[12]en_mam_thrd_no!$A$2:$A$195,[12]en_mam_thrd_no!$G$2:$G$195)</f>
        <v>212</v>
      </c>
      <c r="P79" s="17" t="str">
        <f>_xlfn.XLOOKUP($A79,[13]en_fsh_thrd_no!$A$2:$A$195,[13]en_fsh_thrd_no!$G$2:$G$195)</f>
        <v>366</v>
      </c>
      <c r="Q79" s="17" t="str">
        <f>_xlfn.XLOOKUP($A79,[14]en_bir_thrd_no!$A$2:$A$195,[14]en_bir_thrd_no!$G$2:$G$195)</f>
        <v>161</v>
      </c>
      <c r="R79" s="17" t="str">
        <f>_xlfn.XLOOKUP($A79,[15]en_hpt_thrd_no!$A$2:$A$195,[15]en_hpt_thrd_no!$G$2:$G$195)</f>
        <v>977</v>
      </c>
      <c r="S79" s="17" t="str">
        <f>_xlfn.XLOOKUP($A79,[16]er_lnd_ptld_zs!$A$2:$A$194, [16]er_lnd_ptld_zs!$O$2:$O$194)</f>
        <v>12</v>
      </c>
      <c r="T79" s="17" t="str">
        <f>_xlfn.XLOOKUP($A79,[17]er_mrn_ptmr_zs!$A$2:$A$155,[17]er_mrn_ptmr_zs!$O$2:$O$155)</f>
        <v>3</v>
      </c>
    </row>
    <row r="80" spans="1:20" x14ac:dyDescent="0.2">
      <c r="A80" t="s">
        <v>234</v>
      </c>
      <c r="B80" t="s">
        <v>235</v>
      </c>
      <c r="C80" s="18" t="str">
        <f>_xlfn.XLOOKUP(A80,[1]Tabelle1!$A$2:$A$196,[1]Tabelle1!$C$2:$C$196)</f>
        <v>asia</v>
      </c>
      <c r="D80" t="s">
        <v>236</v>
      </c>
      <c r="E80" s="17" t="str">
        <f>_xlfn.XLOOKUP(A80,[2]lex!$A$2:$A$195, [2]lex!$HU$2:$HU$195)</f>
        <v>72.3</v>
      </c>
      <c r="F80" s="17" t="str">
        <f>_xlfn.XLOOKUP(A80,[3]gdp_pcap!$A$2:$A$194,[3]gdp_pcap!$HT$2:$HT$194 )</f>
        <v>10607.6231</v>
      </c>
      <c r="G80" s="17" t="str">
        <f>_xlfn.XLOOKUP($A80,[4]ag_lnd_totl_k2!$A$2:$A$195, [4]ag_lnd_totl_k2!$BM$2:$BM$195)</f>
        <v>2973190</v>
      </c>
      <c r="H80" s="17" t="str">
        <f>_xlfn.XLOOKUP($A80,[5]industrial_water_withdrawal_per!$A$2:$A$179,[5]industrial_water_withdrawal_per!$BH$2:$BH$179 )</f>
        <v>2.2339</v>
      </c>
      <c r="I80" s="17" t="str">
        <f>_xlfn.XLOOKUP($A80,[6]agricultural_water_withdrawal_p!$A$2:$A$180,[6]agricultural_water_withdrawal_p!$BH$2:$BH$180 )</f>
        <v>90.407</v>
      </c>
      <c r="J80" s="17" t="str">
        <f>_xlfn.XLOOKUP($A80,[7]total_water_withdrawal_billion_!$A$2:$A$180, [7]total_water_withdrawal_billion_!$BK$2:$BK$180  )</f>
        <v>761</v>
      </c>
      <c r="K80" s="17" t="str">
        <f>_xlfn.XLOOKUP($A80,[8]hydro_power_generation_total!$A$2:$A$119,[8]hydro_power_generation_total!$BA$2:$BA$119 )</f>
        <v>9839000</v>
      </c>
      <c r="L80" s="17" t="str">
        <f>_xlfn.XLOOKUP($A80,[9]ag_lnd_prcp_mm!$A$2:$A$182, [9]ag_lnd_prcp_mm!$BL$2:$BL$182)</f>
        <v>1083</v>
      </c>
      <c r="M80" s="17" t="str">
        <f>_xlfn.XLOOKUP($A80,[10]co2_pcap_cons!$A$2:$A$193, [10]co2_pcap_cons!$HQ$2:$HQ$193)</f>
        <v>1.874</v>
      </c>
      <c r="N80" s="17" t="str">
        <f>_xlfn.XLOOKUP($A80,[11]primary_forest_area_ha!$A$2:$A$193, [11]primary_forest_area_ha!$AD$2:$AD$193)</f>
        <v>15701000</v>
      </c>
      <c r="O80" s="17" t="str">
        <f>_xlfn.XLOOKUP($A80,[12]en_mam_thrd_no!$A$2:$A$195,[12]en_mam_thrd_no!$G$2:$G$195)</f>
        <v>99</v>
      </c>
      <c r="P80" s="17" t="str">
        <f>_xlfn.XLOOKUP($A80,[13]en_fsh_thrd_no!$A$2:$A$195,[13]en_fsh_thrd_no!$G$2:$G$195)</f>
        <v>290</v>
      </c>
      <c r="Q80" s="17" t="str">
        <f>_xlfn.XLOOKUP($A80,[14]en_bir_thrd_no!$A$2:$A$195,[14]en_bir_thrd_no!$G$2:$G$195)</f>
        <v>92</v>
      </c>
      <c r="R80" s="17" t="str">
        <f>_xlfn.XLOOKUP($A80,[15]en_hpt_thrd_no!$A$2:$A$195,[15]en_hpt_thrd_no!$G$2:$G$195)</f>
        <v>527</v>
      </c>
      <c r="S80" s="17" t="str">
        <f>_xlfn.XLOOKUP($A80,[16]er_lnd_ptld_zs!$A$2:$A$194, [16]er_lnd_ptld_zs!$O$2:$O$194)</f>
        <v>7.7</v>
      </c>
      <c r="T80" s="17" t="str">
        <f>_xlfn.XLOOKUP($A80,[17]er_mrn_ptmr_zs!$A$2:$A$155,[17]er_mrn_ptmr_zs!$O$2:$O$155)</f>
        <v>0.3</v>
      </c>
    </row>
    <row r="81" spans="1:20" x14ac:dyDescent="0.2">
      <c r="A81" t="s">
        <v>237</v>
      </c>
      <c r="B81" t="s">
        <v>238</v>
      </c>
      <c r="C81" s="18" t="str">
        <f>_xlfn.XLOOKUP(A81,[1]Tabelle1!$A$2:$A$196,[1]Tabelle1!$C$2:$C$196)</f>
        <v>europe</v>
      </c>
      <c r="D81" t="s">
        <v>239</v>
      </c>
      <c r="E81" s="17" t="str">
        <f>_xlfn.XLOOKUP(A81,[2]lex!$A$2:$A$195, [2]lex!$HU$2:$HU$195)</f>
        <v>83</v>
      </c>
      <c r="F81" s="17" t="str">
        <f>_xlfn.XLOOKUP(A81,[3]gdp_pcap!$A$2:$A$194,[3]gdp_pcap!$HT$2:$HT$194 )</f>
        <v>119406.2256</v>
      </c>
      <c r="G81" s="17" t="str">
        <f>_xlfn.XLOOKUP($A81,[4]ag_lnd_totl_k2!$A$2:$A$195, [4]ag_lnd_totl_k2!$BM$2:$BM$195)</f>
        <v>68890</v>
      </c>
      <c r="H81" s="17" t="str">
        <f>_xlfn.XLOOKUP($A81,[5]industrial_water_withdrawal_per!$A$2:$A$179,[5]industrial_water_withdrawal_per!$BH$2:$BH$179 )</f>
        <v>31.788</v>
      </c>
      <c r="I81" s="17" t="str">
        <f>_xlfn.XLOOKUP($A81,[6]agricultural_water_withdrawal_p!$A$2:$A$180,[6]agricultural_water_withdrawal_p!$BH$2:$BH$180 )</f>
        <v>2.3688</v>
      </c>
      <c r="J81" s="17" t="str">
        <f>_xlfn.XLOOKUP($A81,[7]total_water_withdrawal_billion_!$A$2:$A$180, [7]total_water_withdrawal_billion_!$BK$2:$BK$180  )</f>
        <v>1.673</v>
      </c>
      <c r="K81" s="17" t="str">
        <f>_xlfn.XLOOKUP($A81,[8]hydro_power_generation_total!$A$2:$A$119,[8]hydro_power_generation_total!$BA$2:$BA$119 )</f>
        <v>51500</v>
      </c>
      <c r="L81" s="17" t="str">
        <f>_xlfn.XLOOKUP($A81,[9]ag_lnd_prcp_mm!$A$2:$A$182, [9]ag_lnd_prcp_mm!$BL$2:$BL$182)</f>
        <v>1118</v>
      </c>
      <c r="M81" s="17" t="str">
        <f>_xlfn.XLOOKUP($A81,[10]co2_pcap_cons!$A$2:$A$193, [10]co2_pcap_cons!$HQ$2:$HQ$193)</f>
        <v>8.59</v>
      </c>
      <c r="N81" s="17">
        <f>_xlfn.XLOOKUP($A81,[11]primary_forest_area_ha!$A$2:$A$193, [11]primary_forest_area_ha!$AD$2:$AD$193)</f>
        <v>0</v>
      </c>
      <c r="O81" s="17" t="str">
        <f>_xlfn.XLOOKUP($A81,[12]en_mam_thrd_no!$A$2:$A$195,[12]en_mam_thrd_no!$G$2:$G$195)</f>
        <v>4</v>
      </c>
      <c r="P81" s="17" t="str">
        <f>_xlfn.XLOOKUP($A81,[13]en_fsh_thrd_no!$A$2:$A$195,[13]en_fsh_thrd_no!$G$2:$G$195)</f>
        <v>41</v>
      </c>
      <c r="Q81" s="17" t="str">
        <f>_xlfn.XLOOKUP($A81,[14]en_bir_thrd_no!$A$2:$A$195,[14]en_bir_thrd_no!$G$2:$G$195)</f>
        <v>9</v>
      </c>
      <c r="R81" s="17" t="str">
        <f>_xlfn.XLOOKUP($A81,[15]en_hpt_thrd_no!$A$2:$A$195,[15]en_hpt_thrd_no!$G$2:$G$195)</f>
        <v>8</v>
      </c>
      <c r="S81" s="17" t="str">
        <f>_xlfn.XLOOKUP($A81,[16]er_lnd_ptld_zs!$A$2:$A$194, [16]er_lnd_ptld_zs!$O$2:$O$194)</f>
        <v>14.2</v>
      </c>
      <c r="T81" s="17" t="str">
        <f>_xlfn.XLOOKUP($A81,[17]er_mrn_ptmr_zs!$A$2:$A$155,[17]er_mrn_ptmr_zs!$O$2:$O$155)</f>
        <v>2.4</v>
      </c>
    </row>
    <row r="82" spans="1:20" x14ac:dyDescent="0.2">
      <c r="A82" t="s">
        <v>240</v>
      </c>
      <c r="B82" t="s">
        <v>241</v>
      </c>
      <c r="C82" s="18" t="str">
        <f>_xlfn.XLOOKUP(A82,[1]Tabelle1!$A$2:$A$196,[1]Tabelle1!$C$2:$C$196)</f>
        <v>asia</v>
      </c>
      <c r="D82" t="s">
        <v>242</v>
      </c>
      <c r="E82" s="17" t="str">
        <f>_xlfn.XLOOKUP(A82,[2]lex!$A$2:$A$195, [2]lex!$HU$2:$HU$195)</f>
        <v>79.31</v>
      </c>
      <c r="F82" s="17" t="str">
        <f>_xlfn.XLOOKUP(A82,[3]gdp_pcap!$A$2:$A$194,[3]gdp_pcap!$HT$2:$HT$194 )</f>
        <v>16539.72286</v>
      </c>
      <c r="G82" s="17" t="str">
        <f>_xlfn.XLOOKUP($A82,[4]ag_lnd_totl_k2!$A$2:$A$195, [4]ag_lnd_totl_k2!$BM$2:$BM$195)</f>
        <v>1622500</v>
      </c>
      <c r="H82" s="17" t="str">
        <f>_xlfn.XLOOKUP($A82,[5]industrial_water_withdrawal_per!$A$2:$A$179,[5]industrial_water_withdrawal_per!$BH$2:$BH$179 )</f>
        <v>1.179</v>
      </c>
      <c r="I82" s="17" t="str">
        <f>_xlfn.XLOOKUP($A82,[6]agricultural_water_withdrawal_p!$A$2:$A$180,[6]agricultural_water_withdrawal_p!$BH$2:$BH$180 )</f>
        <v>92.176</v>
      </c>
      <c r="J82" s="17" t="str">
        <f>_xlfn.XLOOKUP($A82,[7]total_water_withdrawal_billion_!$A$2:$A$180, [7]total_water_withdrawal_billion_!$BK$2:$BK$180  )</f>
        <v>93.3</v>
      </c>
      <c r="K82" s="17" t="str">
        <f>_xlfn.XLOOKUP($A82,[8]hydro_power_generation_total!$A$2:$A$119,[8]hydro_power_generation_total!$BA$2:$BA$119 )</f>
        <v>819100</v>
      </c>
      <c r="L82" s="17" t="str">
        <f>_xlfn.XLOOKUP($A82,[9]ag_lnd_prcp_mm!$A$2:$A$182, [9]ag_lnd_prcp_mm!$BL$2:$BL$182)</f>
        <v>228</v>
      </c>
      <c r="M82" s="17" t="str">
        <f>_xlfn.XLOOKUP($A82,[10]co2_pcap_cons!$A$2:$A$193, [10]co2_pcap_cons!$HQ$2:$HQ$193)</f>
        <v>7.673</v>
      </c>
      <c r="N82" s="17" t="str">
        <f>_xlfn.XLOOKUP($A82,[11]primary_forest_area_ha!$A$2:$A$193, [11]primary_forest_area_ha!$AD$2:$AD$193)</f>
        <v>200000</v>
      </c>
      <c r="O82" s="17" t="str">
        <f>_xlfn.XLOOKUP($A82,[12]en_mam_thrd_no!$A$2:$A$195,[12]en_mam_thrd_no!$G$2:$G$195)</f>
        <v>18</v>
      </c>
      <c r="P82" s="17" t="str">
        <f>_xlfn.XLOOKUP($A82,[13]en_fsh_thrd_no!$A$2:$A$195,[13]en_fsh_thrd_no!$G$2:$G$195)</f>
        <v>84</v>
      </c>
      <c r="Q82" s="17" t="str">
        <f>_xlfn.XLOOKUP($A82,[14]en_bir_thrd_no!$A$2:$A$195,[14]en_bir_thrd_no!$G$2:$G$195)</f>
        <v>29</v>
      </c>
      <c r="R82" s="17" t="str">
        <f>_xlfn.XLOOKUP($A82,[15]en_hpt_thrd_no!$A$2:$A$195,[15]en_hpt_thrd_no!$G$2:$G$195)</f>
        <v>15</v>
      </c>
      <c r="S82" s="17" t="str">
        <f>_xlfn.XLOOKUP($A82,[16]er_lnd_ptld_zs!$A$2:$A$194, [16]er_lnd_ptld_zs!$O$2:$O$194)</f>
        <v>7.8</v>
      </c>
      <c r="T82" s="17" t="str">
        <f>_xlfn.XLOOKUP($A82,[17]er_mrn_ptmr_zs!$A$2:$A$155,[17]er_mrn_ptmr_zs!$O$2:$O$155)</f>
        <v>0.9</v>
      </c>
    </row>
    <row r="83" spans="1:20" x14ac:dyDescent="0.2">
      <c r="A83" t="s">
        <v>243</v>
      </c>
      <c r="B83" t="s">
        <v>244</v>
      </c>
      <c r="C83" s="18" t="str">
        <f>_xlfn.XLOOKUP(A83,[1]Tabelle1!$A$2:$A$196,[1]Tabelle1!$C$2:$C$196)</f>
        <v>asia</v>
      </c>
      <c r="D83" t="s">
        <v>245</v>
      </c>
      <c r="E83" s="17" t="str">
        <f>_xlfn.XLOOKUP(A83,[2]lex!$A$2:$A$195, [2]lex!$HU$2:$HU$195)</f>
        <v>71.4</v>
      </c>
      <c r="F83" s="17" t="str">
        <f>_xlfn.XLOOKUP(A83,[3]gdp_pcap!$A$2:$A$194,[3]gdp_pcap!$HT$2:$HT$194 )</f>
        <v>12554.13117</v>
      </c>
      <c r="G83" s="17" t="str">
        <f>_xlfn.XLOOKUP($A83,[4]ag_lnd_totl_k2!$A$2:$A$195, [4]ag_lnd_totl_k2!$BM$2:$BM$195)</f>
        <v>434130</v>
      </c>
      <c r="H83" s="17" t="str">
        <f>_xlfn.XLOOKUP($A83,[5]industrial_water_withdrawal_per!$A$2:$A$179,[5]industrial_water_withdrawal_per!$BH$2:$BH$179 )</f>
        <v>10.654</v>
      </c>
      <c r="I83" s="17" t="str">
        <f>_xlfn.XLOOKUP($A83,[6]agricultural_water_withdrawal_p!$A$2:$A$180,[6]agricultural_water_withdrawal_p!$BH$2:$BH$180 )</f>
        <v>73.47</v>
      </c>
      <c r="J83" s="17" t="str">
        <f>_xlfn.XLOOKUP($A83,[7]total_water_withdrawal_billion_!$A$2:$A$180, [7]total_water_withdrawal_billion_!$BK$2:$BK$180  )</f>
        <v>42.424</v>
      </c>
      <c r="K83" s="17" t="str">
        <f>_xlfn.XLOOKUP($A83,[8]hydro_power_generation_total!$A$2:$A$119,[8]hydro_power_generation_total!$BA$2:$BA$119 )</f>
        <v>409800</v>
      </c>
      <c r="L83" s="17" t="str">
        <f>_xlfn.XLOOKUP($A83,[9]ag_lnd_prcp_mm!$A$2:$A$182, [9]ag_lnd_prcp_mm!$BL$2:$BL$182)</f>
        <v>216</v>
      </c>
      <c r="M83" s="17" t="str">
        <f>_xlfn.XLOOKUP($A83,[10]co2_pcap_cons!$A$2:$A$193, [10]co2_pcap_cons!$HQ$2:$HQ$193)</f>
        <v>5.756</v>
      </c>
      <c r="N83" s="17">
        <f>_xlfn.XLOOKUP($A83,[11]primary_forest_area_ha!$A$2:$A$193, [11]primary_forest_area_ha!$AD$2:$AD$193)</f>
        <v>0</v>
      </c>
      <c r="O83" s="17" t="str">
        <f>_xlfn.XLOOKUP($A83,[12]en_mam_thrd_no!$A$2:$A$195,[12]en_mam_thrd_no!$G$2:$G$195)</f>
        <v>13</v>
      </c>
      <c r="P83" s="17" t="str">
        <f>_xlfn.XLOOKUP($A83,[13]en_fsh_thrd_no!$A$2:$A$195,[13]en_fsh_thrd_no!$G$2:$G$195)</f>
        <v>44</v>
      </c>
      <c r="Q83" s="17" t="str">
        <f>_xlfn.XLOOKUP($A83,[14]en_bir_thrd_no!$A$2:$A$195,[14]en_bir_thrd_no!$G$2:$G$195)</f>
        <v>18</v>
      </c>
      <c r="R83" s="17" t="str">
        <f>_xlfn.XLOOKUP($A83,[15]en_hpt_thrd_no!$A$2:$A$195,[15]en_hpt_thrd_no!$G$2:$G$195)</f>
        <v>4</v>
      </c>
      <c r="S83" s="17" t="str">
        <f>_xlfn.XLOOKUP($A83,[16]er_lnd_ptld_zs!$A$2:$A$194, [16]er_lnd_ptld_zs!$O$2:$O$194)</f>
        <v>1.5</v>
      </c>
      <c r="T83" s="17">
        <f>_xlfn.XLOOKUP($A83,[17]er_mrn_ptmr_zs!$A$2:$A$155,[17]er_mrn_ptmr_zs!$O$2:$O$155)</f>
        <v>0</v>
      </c>
    </row>
    <row r="84" spans="1:20" x14ac:dyDescent="0.2">
      <c r="A84" t="s">
        <v>246</v>
      </c>
      <c r="B84" t="s">
        <v>247</v>
      </c>
      <c r="C84" s="18" t="str">
        <f>_xlfn.XLOOKUP(A84,[1]Tabelle1!$A$2:$A$196,[1]Tabelle1!$C$2:$C$196)</f>
        <v>europe</v>
      </c>
      <c r="D84" t="s">
        <v>248</v>
      </c>
      <c r="E84" s="17" t="str">
        <f>_xlfn.XLOOKUP(A84,[2]lex!$A$2:$A$195, [2]lex!$HU$2:$HU$195)</f>
        <v>83.1</v>
      </c>
      <c r="F84" s="17" t="str">
        <f>_xlfn.XLOOKUP(A84,[3]gdp_pcap!$A$2:$A$194,[3]gdp_pcap!$HT$2:$HT$194 )</f>
        <v>67443.7438</v>
      </c>
      <c r="G84" s="17" t="str">
        <f>_xlfn.XLOOKUP($A84,[4]ag_lnd_totl_k2!$A$2:$A$195, [4]ag_lnd_totl_k2!$BM$2:$BM$195)</f>
        <v>100830</v>
      </c>
      <c r="H84" s="17" t="str">
        <f>_xlfn.XLOOKUP($A84,[5]industrial_water_withdrawal_per!$A$2:$A$179,[5]industrial_water_withdrawal_per!$BH$2:$BH$179 )</f>
        <v>71.146</v>
      </c>
      <c r="I84" s="17" t="str">
        <f>_xlfn.XLOOKUP($A84,[6]agricultural_water_withdrawal_p!$A$2:$A$180,[6]agricultural_water_withdrawal_p!$BH$2:$BH$180 )</f>
        <v>0.1078</v>
      </c>
      <c r="J84" s="17" t="str">
        <f>_xlfn.XLOOKUP($A84,[7]total_water_withdrawal_billion_!$A$2:$A$180, [7]total_water_withdrawal_billion_!$BK$2:$BK$180  )</f>
        <v>0.2783</v>
      </c>
      <c r="K84" s="17" t="str">
        <f>_xlfn.XLOOKUP($A84,[8]hydro_power_generation_total!$A$2:$A$119,[8]hydro_power_generation_total!$BA$2:$BA$119 )</f>
        <v>1083000</v>
      </c>
      <c r="L84" s="17" t="str">
        <f>_xlfn.XLOOKUP($A84,[9]ag_lnd_prcp_mm!$A$2:$A$182, [9]ag_lnd_prcp_mm!$BL$2:$BL$182)</f>
        <v>1940</v>
      </c>
      <c r="M84" s="17" t="str">
        <f>_xlfn.XLOOKUP($A84,[10]co2_pcap_cons!$A$2:$A$193, [10]co2_pcap_cons!$HQ$2:$HQ$193)</f>
        <v>9.991</v>
      </c>
      <c r="N84" s="17">
        <f>_xlfn.XLOOKUP($A84,[11]primary_forest_area_ha!$A$2:$A$193, [11]primary_forest_area_ha!$AD$2:$AD$193)</f>
        <v>0</v>
      </c>
      <c r="O84" s="17" t="str">
        <f>_xlfn.XLOOKUP($A84,[12]en_mam_thrd_no!$A$2:$A$195,[12]en_mam_thrd_no!$G$2:$G$195)</f>
        <v>6</v>
      </c>
      <c r="P84" s="17" t="str">
        <f>_xlfn.XLOOKUP($A84,[13]en_fsh_thrd_no!$A$2:$A$195,[13]en_fsh_thrd_no!$G$2:$G$195)</f>
        <v>20</v>
      </c>
      <c r="Q84" s="17" t="str">
        <f>_xlfn.XLOOKUP($A84,[14]en_bir_thrd_no!$A$2:$A$195,[14]en_bir_thrd_no!$G$2:$G$195)</f>
        <v>7</v>
      </c>
      <c r="R84" s="17">
        <f>_xlfn.XLOOKUP($A84,[15]en_hpt_thrd_no!$A$2:$A$195,[15]en_hpt_thrd_no!$G$2:$G$195)</f>
        <v>0</v>
      </c>
      <c r="S84" s="17" t="str">
        <f>_xlfn.XLOOKUP($A84,[16]er_lnd_ptld_zs!$A$2:$A$194, [16]er_lnd_ptld_zs!$O$2:$O$194)</f>
        <v>20.9</v>
      </c>
      <c r="T84" s="17" t="str">
        <f>_xlfn.XLOOKUP($A84,[17]er_mrn_ptmr_zs!$A$2:$A$155,[17]er_mrn_ptmr_zs!$O$2:$O$155)</f>
        <v>0.5</v>
      </c>
    </row>
    <row r="85" spans="1:20" x14ac:dyDescent="0.2">
      <c r="A85" t="s">
        <v>249</v>
      </c>
      <c r="B85" t="s">
        <v>250</v>
      </c>
      <c r="C85" s="18" t="str">
        <f>_xlfn.XLOOKUP(A85,[1]Tabelle1!$A$2:$A$196,[1]Tabelle1!$C$2:$C$196)</f>
        <v>asia</v>
      </c>
      <c r="D85" t="s">
        <v>251</v>
      </c>
      <c r="E85" s="17" t="str">
        <f>_xlfn.XLOOKUP(A85,[2]lex!$A$2:$A$195, [2]lex!$HU$2:$HU$195)</f>
        <v>83.81</v>
      </c>
      <c r="F85" s="17" t="str">
        <f>_xlfn.XLOOKUP(A85,[3]gdp_pcap!$A$2:$A$194,[3]gdp_pcap!$HT$2:$HT$194 )</f>
        <v>49539.47269</v>
      </c>
      <c r="G85" s="17" t="str">
        <f>_xlfn.XLOOKUP($A85,[4]ag_lnd_totl_k2!$A$2:$A$195, [4]ag_lnd_totl_k2!$BM$2:$BM$195)</f>
        <v>21640</v>
      </c>
      <c r="H85" s="17" t="str">
        <f>_xlfn.XLOOKUP($A85,[5]industrial_water_withdrawal_per!$A$2:$A$179,[5]industrial_water_withdrawal_per!$BH$2:$BH$179 )</f>
        <v>4.0243</v>
      </c>
      <c r="I85" s="17" t="str">
        <f>_xlfn.XLOOKUP($A85,[6]agricultural_water_withdrawal_p!$A$2:$A$180,[6]agricultural_water_withdrawal_p!$BH$2:$BH$180 )</f>
        <v>46.626</v>
      </c>
      <c r="J85" s="17" t="str">
        <f>_xlfn.XLOOKUP($A85,[7]total_water_withdrawal_billion_!$A$2:$A$180, [7]total_water_withdrawal_billion_!$BK$2:$BK$180  )</f>
        <v>2.605</v>
      </c>
      <c r="K85" s="17" t="str">
        <f>_xlfn.XLOOKUP($A85,[8]hydro_power_generation_total!$A$2:$A$119,[8]hydro_power_generation_total!$BA$2:$BA$119 )</f>
        <v>2494</v>
      </c>
      <c r="L85" s="17">
        <f>_xlfn.XLOOKUP($A85,[9]ag_lnd_prcp_mm!$A$2:$A$182, [9]ag_lnd_prcp_mm!$BL$2:$BL$182)</f>
        <v>0</v>
      </c>
      <c r="M85" s="17" t="str">
        <f>_xlfn.XLOOKUP($A85,[10]co2_pcap_cons!$A$2:$A$193, [10]co2_pcap_cons!$HQ$2:$HQ$193)</f>
        <v>8.598</v>
      </c>
      <c r="N85" s="17">
        <f>_xlfn.XLOOKUP($A85,[11]primary_forest_area_ha!$A$2:$A$193, [11]primary_forest_area_ha!$AD$2:$AD$193)</f>
        <v>0</v>
      </c>
      <c r="O85" s="17" t="str">
        <f>_xlfn.XLOOKUP($A85,[12]en_mam_thrd_no!$A$2:$A$195,[12]en_mam_thrd_no!$G$2:$G$195)</f>
        <v>16</v>
      </c>
      <c r="P85" s="17" t="str">
        <f>_xlfn.XLOOKUP($A85,[13]en_fsh_thrd_no!$A$2:$A$195,[13]en_fsh_thrd_no!$G$2:$G$195)</f>
        <v>84</v>
      </c>
      <c r="Q85" s="17" t="str">
        <f>_xlfn.XLOOKUP($A85,[14]en_bir_thrd_no!$A$2:$A$195,[14]en_bir_thrd_no!$G$2:$G$195)</f>
        <v>19</v>
      </c>
      <c r="R85" s="17" t="str">
        <f>_xlfn.XLOOKUP($A85,[15]en_hpt_thrd_no!$A$2:$A$195,[15]en_hpt_thrd_no!$G$2:$G$195)</f>
        <v>39</v>
      </c>
      <c r="S85" s="17" t="str">
        <f>_xlfn.XLOOKUP($A85,[16]er_lnd_ptld_zs!$A$2:$A$194, [16]er_lnd_ptld_zs!$O$2:$O$194)</f>
        <v>27.6</v>
      </c>
      <c r="T85" s="17" t="str">
        <f>_xlfn.XLOOKUP($A85,[17]er_mrn_ptmr_zs!$A$2:$A$155,[17]er_mrn_ptmr_zs!$O$2:$O$155)</f>
        <v>0.6</v>
      </c>
    </row>
    <row r="86" spans="1:20" x14ac:dyDescent="0.2">
      <c r="A86" t="s">
        <v>252</v>
      </c>
      <c r="B86" t="s">
        <v>253</v>
      </c>
      <c r="C86" s="18" t="str">
        <f>_xlfn.XLOOKUP(A86,[1]Tabelle1!$A$2:$A$196,[1]Tabelle1!$C$2:$C$196)</f>
        <v>europe</v>
      </c>
      <c r="D86" t="s">
        <v>254</v>
      </c>
      <c r="E86" s="17" t="str">
        <f>_xlfn.XLOOKUP(A86,[2]lex!$A$2:$A$195, [2]lex!$HU$2:$HU$195)</f>
        <v>83.5</v>
      </c>
      <c r="F86" s="17" t="str">
        <f>_xlfn.XLOOKUP(A86,[3]gdp_pcap!$A$2:$A$194,[3]gdp_pcap!$HT$2:$HT$194 )</f>
        <v>54773.81941</v>
      </c>
      <c r="G86" s="17" t="str">
        <f>_xlfn.XLOOKUP($A86,[4]ag_lnd_totl_k2!$A$2:$A$195, [4]ag_lnd_totl_k2!$BM$2:$BM$195)</f>
        <v>295720</v>
      </c>
      <c r="H86" s="17" t="str">
        <f>_xlfn.XLOOKUP($A86,[5]industrial_water_withdrawal_per!$A$2:$A$179,[5]industrial_water_withdrawal_per!$BH$2:$BH$179 )</f>
        <v>22.749</v>
      </c>
      <c r="I86" s="17" t="str">
        <f>_xlfn.XLOOKUP($A86,[6]agricultural_water_withdrawal_p!$A$2:$A$180,[6]agricultural_water_withdrawal_p!$BH$2:$BH$180 )</f>
        <v>50.225</v>
      </c>
      <c r="J86" s="17" t="str">
        <f>_xlfn.XLOOKUP($A86,[7]total_water_withdrawal_billion_!$A$2:$A$180, [7]total_water_withdrawal_billion_!$BK$2:$BK$180  )</f>
        <v>33.848</v>
      </c>
      <c r="K86" s="17" t="str">
        <f>_xlfn.XLOOKUP($A86,[8]hydro_power_generation_total!$A$2:$A$119,[8]hydro_power_generation_total!$BA$2:$BA$119 )</f>
        <v>4395000</v>
      </c>
      <c r="L86" s="17" t="str">
        <f>_xlfn.XLOOKUP($A86,[9]ag_lnd_prcp_mm!$A$2:$A$182, [9]ag_lnd_prcp_mm!$BL$2:$BL$182)</f>
        <v>832</v>
      </c>
      <c r="M86" s="17" t="str">
        <f>_xlfn.XLOOKUP($A86,[10]co2_pcap_cons!$A$2:$A$193, [10]co2_pcap_cons!$HQ$2:$HQ$193)</f>
        <v>6.925</v>
      </c>
      <c r="N86" s="17" t="str">
        <f>_xlfn.XLOOKUP($A86,[11]primary_forest_area_ha!$A$2:$A$193, [11]primary_forest_area_ha!$AD$2:$AD$193)</f>
        <v>93000</v>
      </c>
      <c r="O86" s="17" t="str">
        <f>_xlfn.XLOOKUP($A86,[12]en_mam_thrd_no!$A$2:$A$195,[12]en_mam_thrd_no!$G$2:$G$195)</f>
        <v>9</v>
      </c>
      <c r="P86" s="17" t="str">
        <f>_xlfn.XLOOKUP($A86,[13]en_fsh_thrd_no!$A$2:$A$195,[13]en_fsh_thrd_no!$G$2:$G$195)</f>
        <v>72</v>
      </c>
      <c r="Q86" s="17" t="str">
        <f>_xlfn.XLOOKUP($A86,[14]en_bir_thrd_no!$A$2:$A$195,[14]en_bir_thrd_no!$G$2:$G$195)</f>
        <v>19</v>
      </c>
      <c r="R86" s="17" t="str">
        <f>_xlfn.XLOOKUP($A86,[15]en_hpt_thrd_no!$A$2:$A$195,[15]en_hpt_thrd_no!$G$2:$G$195)</f>
        <v>122</v>
      </c>
      <c r="S86" s="17" t="str">
        <f>_xlfn.XLOOKUP($A86,[16]er_lnd_ptld_zs!$A$2:$A$194, [16]er_lnd_ptld_zs!$O$2:$O$194)</f>
        <v>21.5</v>
      </c>
      <c r="T86" s="17" t="str">
        <f>_xlfn.XLOOKUP($A86,[17]er_mrn_ptmr_zs!$A$2:$A$155,[17]er_mrn_ptmr_zs!$O$2:$O$155)</f>
        <v>11</v>
      </c>
    </row>
    <row r="87" spans="1:20" x14ac:dyDescent="0.2">
      <c r="A87" t="s">
        <v>255</v>
      </c>
      <c r="B87" t="s">
        <v>256</v>
      </c>
      <c r="C87" s="18" t="str">
        <f>_xlfn.XLOOKUP(A87,[1]Tabelle1!$A$2:$A$196,[1]Tabelle1!$C$2:$C$196)</f>
        <v>americas</v>
      </c>
      <c r="D87" t="s">
        <v>257</v>
      </c>
      <c r="E87" s="17" t="str">
        <f>_xlfn.XLOOKUP(A87,[2]lex!$A$2:$A$195, [2]lex!$HU$2:$HU$195)</f>
        <v>76.53</v>
      </c>
      <c r="F87" s="17" t="str">
        <f>_xlfn.XLOOKUP(A87,[3]gdp_pcap!$A$2:$A$194,[3]gdp_pcap!$HT$2:$HT$194 )</f>
        <v>10741.48565</v>
      </c>
      <c r="G87" s="17" t="str">
        <f>_xlfn.XLOOKUP($A87,[4]ag_lnd_totl_k2!$A$2:$A$195, [4]ag_lnd_totl_k2!$BM$2:$BM$195)</f>
        <v>10830</v>
      </c>
      <c r="H87" s="17" t="str">
        <f>_xlfn.XLOOKUP($A87,[5]industrial_water_withdrawal_per!$A$2:$A$179,[5]industrial_water_withdrawal_per!$BH$2:$BH$179 )</f>
        <v>9.5044</v>
      </c>
      <c r="I87" s="17" t="str">
        <f>_xlfn.XLOOKUP($A87,[6]agricultural_water_withdrawal_p!$A$2:$A$180,[6]agricultural_water_withdrawal_p!$BH$2:$BH$180 )</f>
        <v>17.063</v>
      </c>
      <c r="J87" s="17" t="str">
        <f>_xlfn.XLOOKUP($A87,[7]total_water_withdrawal_billion_!$A$2:$A$180, [7]total_water_withdrawal_billion_!$BK$2:$BK$180  )</f>
        <v>0.46283</v>
      </c>
      <c r="K87" s="17" t="str">
        <f>_xlfn.XLOOKUP($A87,[8]hydro_power_generation_total!$A$2:$A$119,[8]hydro_power_generation_total!$BA$2:$BA$119 )</f>
        <v>13070</v>
      </c>
      <c r="L87" s="17" t="str">
        <f>_xlfn.XLOOKUP($A87,[9]ag_lnd_prcp_mm!$A$2:$A$182, [9]ag_lnd_prcp_mm!$BL$2:$BL$182)</f>
        <v>2051</v>
      </c>
      <c r="M87" s="17" t="str">
        <f>_xlfn.XLOOKUP($A87,[10]co2_pcap_cons!$A$2:$A$193, [10]co2_pcap_cons!$HQ$2:$HQ$193)</f>
        <v>2.434</v>
      </c>
      <c r="N87" s="17" t="str">
        <f>_xlfn.XLOOKUP($A87,[11]primary_forest_area_ha!$A$2:$A$193, [11]primary_forest_area_ha!$AD$2:$AD$193)</f>
        <v>87500</v>
      </c>
      <c r="O87" s="17" t="str">
        <f>_xlfn.XLOOKUP($A87,[12]en_mam_thrd_no!$A$2:$A$195,[12]en_mam_thrd_no!$G$2:$G$195)</f>
        <v>7</v>
      </c>
      <c r="P87" s="17" t="str">
        <f>_xlfn.XLOOKUP($A87,[13]en_fsh_thrd_no!$A$2:$A$195,[13]en_fsh_thrd_no!$G$2:$G$195)</f>
        <v>48</v>
      </c>
      <c r="Q87" s="17" t="str">
        <f>_xlfn.XLOOKUP($A87,[14]en_bir_thrd_no!$A$2:$A$195,[14]en_bir_thrd_no!$G$2:$G$195)</f>
        <v>10</v>
      </c>
      <c r="R87" s="17" t="str">
        <f>_xlfn.XLOOKUP($A87,[15]en_hpt_thrd_no!$A$2:$A$195,[15]en_hpt_thrd_no!$G$2:$G$195)</f>
        <v>214</v>
      </c>
      <c r="S87" s="17" t="str">
        <f>_xlfn.XLOOKUP($A87,[16]er_lnd_ptld_zs!$A$2:$A$194, [16]er_lnd_ptld_zs!$O$2:$O$194)</f>
        <v>19.9</v>
      </c>
      <c r="T87" s="17" t="str">
        <f>_xlfn.XLOOKUP($A87,[17]er_mrn_ptmr_zs!$A$2:$A$155,[17]er_mrn_ptmr_zs!$O$2:$O$155)</f>
        <v>0.7</v>
      </c>
    </row>
    <row r="88" spans="1:20" x14ac:dyDescent="0.2">
      <c r="A88" t="s">
        <v>258</v>
      </c>
      <c r="B88" t="s">
        <v>259</v>
      </c>
      <c r="C88" s="18" t="str">
        <f>_xlfn.XLOOKUP(A88,[1]Tabelle1!$A$2:$A$196,[1]Tabelle1!$C$2:$C$196)</f>
        <v>asia</v>
      </c>
      <c r="D88" t="s">
        <v>260</v>
      </c>
      <c r="E88" s="17" t="str">
        <f>_xlfn.XLOOKUP(A88,[2]lex!$A$2:$A$195, [2]lex!$HU$2:$HU$195)</f>
        <v>79</v>
      </c>
      <c r="F88" s="17" t="str">
        <f>_xlfn.XLOOKUP(A88,[3]gdp_pcap!$A$2:$A$194,[3]gdp_pcap!$HT$2:$HT$194 )</f>
        <v>9977.12098</v>
      </c>
      <c r="G88" s="17" t="str">
        <f>_xlfn.XLOOKUP($A88,[4]ag_lnd_totl_k2!$A$2:$A$195, [4]ag_lnd_totl_k2!$BM$2:$BM$195)</f>
        <v>88794</v>
      </c>
      <c r="H88" s="17" t="str">
        <f>_xlfn.XLOOKUP($A88,[5]industrial_water_withdrawal_per!$A$2:$A$179,[5]industrial_water_withdrawal_per!$BH$2:$BH$179 )</f>
        <v>3.338</v>
      </c>
      <c r="I88" s="17" t="str">
        <f>_xlfn.XLOOKUP($A88,[6]agricultural_water_withdrawal_p!$A$2:$A$180,[6]agricultural_water_withdrawal_p!$BH$2:$BH$180 )</f>
        <v>51.645</v>
      </c>
      <c r="J88" s="17" t="str">
        <f>_xlfn.XLOOKUP($A88,[7]total_water_withdrawal_billion_!$A$2:$A$180, [7]total_water_withdrawal_billion_!$BK$2:$BK$180  )</f>
        <v>1.1049</v>
      </c>
      <c r="K88" s="17" t="str">
        <f>_xlfn.XLOOKUP($A88,[8]hydro_power_generation_total!$A$2:$A$119,[8]hydro_power_generation_total!$BA$2:$BA$119 )</f>
        <v>5245</v>
      </c>
      <c r="L88" s="17" t="str">
        <f>_xlfn.XLOOKUP($A88,[9]ag_lnd_prcp_mm!$A$2:$A$182, [9]ag_lnd_prcp_mm!$BL$2:$BL$182)</f>
        <v>111</v>
      </c>
      <c r="M88" s="17" t="str">
        <f>_xlfn.XLOOKUP($A88,[10]co2_pcap_cons!$A$2:$A$193, [10]co2_pcap_cons!$HQ$2:$HQ$193)</f>
        <v>2.896</v>
      </c>
      <c r="N88" s="17">
        <f>_xlfn.XLOOKUP($A88,[11]primary_forest_area_ha!$A$2:$A$193, [11]primary_forest_area_ha!$AD$2:$AD$193)</f>
        <v>0</v>
      </c>
      <c r="O88" s="17" t="str">
        <f>_xlfn.XLOOKUP($A88,[12]en_mam_thrd_no!$A$2:$A$195,[12]en_mam_thrd_no!$G$2:$G$195)</f>
        <v>13</v>
      </c>
      <c r="P88" s="17" t="str">
        <f>_xlfn.XLOOKUP($A88,[13]en_fsh_thrd_no!$A$2:$A$195,[13]en_fsh_thrd_no!$G$2:$G$195)</f>
        <v>28</v>
      </c>
      <c r="Q88" s="17" t="str">
        <f>_xlfn.XLOOKUP($A88,[14]en_bir_thrd_no!$A$2:$A$195,[14]en_bir_thrd_no!$G$2:$G$195)</f>
        <v>16</v>
      </c>
      <c r="R88" s="17" t="str">
        <f>_xlfn.XLOOKUP($A88,[15]en_hpt_thrd_no!$A$2:$A$195,[15]en_hpt_thrd_no!$G$2:$G$195)</f>
        <v>8</v>
      </c>
      <c r="S88" s="17" t="str">
        <f>_xlfn.XLOOKUP($A88,[16]er_lnd_ptld_zs!$A$2:$A$194, [16]er_lnd_ptld_zs!$O$2:$O$194)</f>
        <v>5.4</v>
      </c>
      <c r="T88" s="17" t="str">
        <f>_xlfn.XLOOKUP($A88,[17]er_mrn_ptmr_zs!$A$2:$A$155,[17]er_mrn_ptmr_zs!$O$2:$O$155)</f>
        <v>2.8</v>
      </c>
    </row>
    <row r="89" spans="1:20" x14ac:dyDescent="0.2">
      <c r="A89" t="s">
        <v>261</v>
      </c>
      <c r="B89" t="s">
        <v>262</v>
      </c>
      <c r="C89" s="18" t="str">
        <f>_xlfn.XLOOKUP(A89,[1]Tabelle1!$A$2:$A$196,[1]Tabelle1!$C$2:$C$196)</f>
        <v>asia</v>
      </c>
      <c r="D89" t="s">
        <v>263</v>
      </c>
      <c r="E89" s="17" t="str">
        <f>_xlfn.XLOOKUP(A89,[2]lex!$A$2:$A$195, [2]lex!$HU$2:$HU$195)</f>
        <v>84.5</v>
      </c>
      <c r="F89" s="17" t="str">
        <f>_xlfn.XLOOKUP(A89,[3]gdp_pcap!$A$2:$A$194,[3]gdp_pcap!$HT$2:$HT$194 )</f>
        <v>47815.39888</v>
      </c>
      <c r="G89" s="17" t="str">
        <f>_xlfn.XLOOKUP($A89,[4]ag_lnd_totl_k2!$A$2:$A$195, [4]ag_lnd_totl_k2!$BM$2:$BM$195)</f>
        <v>364569.27</v>
      </c>
      <c r="H89" s="17" t="str">
        <f>_xlfn.XLOOKUP($A89,[5]industrial_water_withdrawal_per!$A$2:$A$179,[5]industrial_water_withdrawal_per!$BH$2:$BH$179 )</f>
        <v>16.352</v>
      </c>
      <c r="I89" s="17" t="str">
        <f>_xlfn.XLOOKUP($A89,[6]agricultural_water_withdrawal_p!$A$2:$A$180,[6]agricultural_water_withdrawal_p!$BH$2:$BH$180 )</f>
        <v>66.667</v>
      </c>
      <c r="J89" s="17" t="str">
        <f>_xlfn.XLOOKUP($A89,[7]total_water_withdrawal_billion_!$A$2:$A$180, [7]total_water_withdrawal_billion_!$BK$2:$BK$180  )</f>
        <v>79.5</v>
      </c>
      <c r="K89" s="17" t="str">
        <f>_xlfn.XLOOKUP($A89,[8]hydro_power_generation_total!$A$2:$A$119,[8]hydro_power_generation_total!$BA$2:$BA$119 )</f>
        <v>7069000</v>
      </c>
      <c r="L89" s="17" t="str">
        <f>_xlfn.XLOOKUP($A89,[9]ag_lnd_prcp_mm!$A$2:$A$182, [9]ag_lnd_prcp_mm!$BL$2:$BL$182)</f>
        <v>1668</v>
      </c>
      <c r="M89" s="17" t="str">
        <f>_xlfn.XLOOKUP($A89,[10]co2_pcap_cons!$A$2:$A$193, [10]co2_pcap_cons!$HQ$2:$HQ$193)</f>
        <v>9.991</v>
      </c>
      <c r="N89" s="17" t="str">
        <f>_xlfn.XLOOKUP($A89,[11]primary_forest_area_ha!$A$2:$A$193, [11]primary_forest_area_ha!$AD$2:$AD$193)</f>
        <v>4905000</v>
      </c>
      <c r="O89" s="17" t="str">
        <f>_xlfn.XLOOKUP($A89,[12]en_mam_thrd_no!$A$2:$A$195,[12]en_mam_thrd_no!$G$2:$G$195)</f>
        <v>29</v>
      </c>
      <c r="P89" s="17" t="str">
        <f>_xlfn.XLOOKUP($A89,[13]en_fsh_thrd_no!$A$2:$A$195,[13]en_fsh_thrd_no!$G$2:$G$195)</f>
        <v>166</v>
      </c>
      <c r="Q89" s="17" t="str">
        <f>_xlfn.XLOOKUP($A89,[14]en_bir_thrd_no!$A$2:$A$195,[14]en_bir_thrd_no!$G$2:$G$195)</f>
        <v>50</v>
      </c>
      <c r="R89" s="17" t="str">
        <f>_xlfn.XLOOKUP($A89,[15]en_hpt_thrd_no!$A$2:$A$195,[15]en_hpt_thrd_no!$G$2:$G$195)</f>
        <v>75</v>
      </c>
      <c r="S89" s="17" t="str">
        <f>_xlfn.XLOOKUP($A89,[16]er_lnd_ptld_zs!$A$2:$A$194, [16]er_lnd_ptld_zs!$O$2:$O$194)</f>
        <v>29.7</v>
      </c>
      <c r="T89" s="17" t="str">
        <f>_xlfn.XLOOKUP($A89,[17]er_mrn_ptmr_zs!$A$2:$A$155,[17]er_mrn_ptmr_zs!$O$2:$O$155)</f>
        <v>13.8</v>
      </c>
    </row>
    <row r="90" spans="1:20" x14ac:dyDescent="0.2">
      <c r="A90" t="s">
        <v>264</v>
      </c>
      <c r="B90" t="s">
        <v>265</v>
      </c>
      <c r="C90" s="18" t="str">
        <f>_xlfn.XLOOKUP(A90,[1]Tabelle1!$A$2:$A$196,[1]Tabelle1!$C$2:$C$196)</f>
        <v>asia</v>
      </c>
      <c r="D90" t="s">
        <v>266</v>
      </c>
      <c r="E90" s="17" t="str">
        <f>_xlfn.XLOOKUP(A90,[2]lex!$A$2:$A$195, [2]lex!$HU$2:$HU$195)</f>
        <v>75.3</v>
      </c>
      <c r="F90" s="17" t="str">
        <f>_xlfn.XLOOKUP(A90,[3]gdp_pcap!$A$2:$A$194,[3]gdp_pcap!$HT$2:$HT$194 )</f>
        <v>38237.52103</v>
      </c>
      <c r="G90" s="17" t="str">
        <f>_xlfn.XLOOKUP($A90,[4]ag_lnd_totl_k2!$A$2:$A$195, [4]ag_lnd_totl_k2!$BM$2:$BM$195)</f>
        <v>2699700</v>
      </c>
      <c r="H90" s="17" t="str">
        <f>_xlfn.XLOOKUP($A90,[5]industrial_water_withdrawal_per!$A$2:$A$179,[5]industrial_water_withdrawal_per!$BH$2:$BH$179 )</f>
        <v>23.85</v>
      </c>
      <c r="I90" s="17" t="str">
        <f>_xlfn.XLOOKUP($A90,[6]agricultural_water_withdrawal_p!$A$2:$A$180,[6]agricultural_water_withdrawal_p!$BH$2:$BH$180 )</f>
        <v>56.747</v>
      </c>
      <c r="J90" s="17" t="str">
        <f>_xlfn.XLOOKUP($A90,[7]total_water_withdrawal_billion_!$A$2:$A$180, [7]total_water_withdrawal_billion_!$BK$2:$BK$180  )</f>
        <v>25.136</v>
      </c>
      <c r="K90" s="17" t="str">
        <f>_xlfn.XLOOKUP($A90,[8]hydro_power_generation_total!$A$2:$A$119,[8]hydro_power_generation_total!$BA$2:$BA$119 )</f>
        <v>689800</v>
      </c>
      <c r="L90" s="17" t="str">
        <f>_xlfn.XLOOKUP($A90,[9]ag_lnd_prcp_mm!$A$2:$A$182, [9]ag_lnd_prcp_mm!$BL$2:$BL$182)</f>
        <v>250</v>
      </c>
      <c r="M90" s="17" t="str">
        <f>_xlfn.XLOOKUP($A90,[10]co2_pcap_cons!$A$2:$A$193, [10]co2_pcap_cons!$HQ$2:$HQ$193)</f>
        <v>9.658</v>
      </c>
      <c r="N90" s="17">
        <f>_xlfn.XLOOKUP($A90,[11]primary_forest_area_ha!$A$2:$A$193, [11]primary_forest_area_ha!$AD$2:$AD$193)</f>
        <v>0</v>
      </c>
      <c r="O90" s="17" t="str">
        <f>_xlfn.XLOOKUP($A90,[12]en_mam_thrd_no!$A$2:$A$195,[12]en_mam_thrd_no!$G$2:$G$195)</f>
        <v>17</v>
      </c>
      <c r="P90" s="17" t="str">
        <f>_xlfn.XLOOKUP($A90,[13]en_fsh_thrd_no!$A$2:$A$195,[13]en_fsh_thrd_no!$G$2:$G$195)</f>
        <v>24</v>
      </c>
      <c r="Q90" s="17" t="str">
        <f>_xlfn.XLOOKUP($A90,[14]en_bir_thrd_no!$A$2:$A$195,[14]en_bir_thrd_no!$G$2:$G$195)</f>
        <v>28</v>
      </c>
      <c r="R90" s="17" t="str">
        <f>_xlfn.XLOOKUP($A90,[15]en_hpt_thrd_no!$A$2:$A$195,[15]en_hpt_thrd_no!$G$2:$G$195)</f>
        <v>13</v>
      </c>
      <c r="S90" s="17" t="str">
        <f>_xlfn.XLOOKUP($A90,[16]er_lnd_ptld_zs!$A$2:$A$194, [16]er_lnd_ptld_zs!$O$2:$O$194)</f>
        <v>10.1</v>
      </c>
      <c r="T90" s="17" t="str">
        <f>_xlfn.XLOOKUP($A90,[17]er_mrn_ptmr_zs!$A$2:$A$155,[17]er_mrn_ptmr_zs!$O$2:$O$155)</f>
        <v>52.5</v>
      </c>
    </row>
    <row r="91" spans="1:20" x14ac:dyDescent="0.2">
      <c r="A91" t="s">
        <v>267</v>
      </c>
      <c r="B91" t="s">
        <v>268</v>
      </c>
      <c r="C91" s="18" t="str">
        <f>_xlfn.XLOOKUP(A91,[1]Tabelle1!$A$2:$A$196,[1]Tabelle1!$C$2:$C$196)</f>
        <v>africa</v>
      </c>
      <c r="D91" t="s">
        <v>269</v>
      </c>
      <c r="E91" s="17" t="str">
        <f>_xlfn.XLOOKUP(A91,[2]lex!$A$2:$A$195, [2]lex!$HU$2:$HU$195)</f>
        <v>70.56</v>
      </c>
      <c r="F91" s="17" t="str">
        <f>_xlfn.XLOOKUP(A91,[3]gdp_pcap!$A$2:$A$194,[3]gdp_pcap!$HT$2:$HT$194 )</f>
        <v>6158.76678</v>
      </c>
      <c r="G91" s="17" t="str">
        <f>_xlfn.XLOOKUP($A91,[4]ag_lnd_totl_k2!$A$2:$A$195, [4]ag_lnd_totl_k2!$BM$2:$BM$195)</f>
        <v>580876.3</v>
      </c>
      <c r="H91" s="17" t="str">
        <f>_xlfn.XLOOKUP($A91,[5]industrial_water_withdrawal_per!$A$2:$A$179,[5]industrial_water_withdrawal_per!$BH$2:$BH$179 )</f>
        <v>7.5149</v>
      </c>
      <c r="I91" s="17" t="str">
        <f>_xlfn.XLOOKUP($A91,[6]agricultural_water_withdrawal_p!$A$2:$A$180,[6]agricultural_water_withdrawal_p!$BH$2:$BH$180 )</f>
        <v>80.208</v>
      </c>
      <c r="J91" s="17" t="str">
        <f>_xlfn.XLOOKUP($A91,[7]total_water_withdrawal_billion_!$A$2:$A$180, [7]total_water_withdrawal_billion_!$BK$2:$BK$180  )</f>
        <v>4.032</v>
      </c>
      <c r="K91" s="17" t="str">
        <f>_xlfn.XLOOKUP($A91,[8]hydro_power_generation_total!$A$2:$A$119,[8]hydro_power_generation_total!$BA$2:$BA$119 )</f>
        <v>294700</v>
      </c>
      <c r="L91" s="17" t="str">
        <f>_xlfn.XLOOKUP($A91,[9]ag_lnd_prcp_mm!$A$2:$A$182, [9]ag_lnd_prcp_mm!$BL$2:$BL$182)</f>
        <v>630</v>
      </c>
      <c r="M91" s="17" t="str">
        <f>_xlfn.XLOOKUP($A91,[10]co2_pcap_cons!$A$2:$A$193, [10]co2_pcap_cons!$HQ$2:$HQ$193)</f>
        <v>0.562</v>
      </c>
      <c r="N91" s="17">
        <f>_xlfn.XLOOKUP($A91,[11]primary_forest_area_ha!$A$2:$A$193, [11]primary_forest_area_ha!$AD$2:$AD$193)</f>
        <v>0</v>
      </c>
      <c r="O91" s="17" t="str">
        <f>_xlfn.XLOOKUP($A91,[12]en_mam_thrd_no!$A$2:$A$195,[12]en_mam_thrd_no!$G$2:$G$195)</f>
        <v>32</v>
      </c>
      <c r="P91" s="17" t="str">
        <f>_xlfn.XLOOKUP($A91,[13]en_fsh_thrd_no!$A$2:$A$195,[13]en_fsh_thrd_no!$G$2:$G$195)</f>
        <v>99</v>
      </c>
      <c r="Q91" s="17" t="str">
        <f>_xlfn.XLOOKUP($A91,[14]en_bir_thrd_no!$A$2:$A$195,[14]en_bir_thrd_no!$G$2:$G$195)</f>
        <v>45</v>
      </c>
      <c r="R91" s="17" t="str">
        <f>_xlfn.XLOOKUP($A91,[15]en_hpt_thrd_no!$A$2:$A$195,[15]en_hpt_thrd_no!$G$2:$G$195)</f>
        <v>382</v>
      </c>
      <c r="S91" s="17" t="str">
        <f>_xlfn.XLOOKUP($A91,[16]er_lnd_ptld_zs!$A$2:$A$194, [16]er_lnd_ptld_zs!$O$2:$O$194)</f>
        <v>13.9</v>
      </c>
      <c r="T91" s="17" t="str">
        <f>_xlfn.XLOOKUP($A91,[17]er_mrn_ptmr_zs!$A$2:$A$155,[17]er_mrn_ptmr_zs!$O$2:$O$155)</f>
        <v>0.7</v>
      </c>
    </row>
    <row r="92" spans="1:20" x14ac:dyDescent="0.2">
      <c r="A92" t="s">
        <v>270</v>
      </c>
      <c r="B92" t="s">
        <v>271</v>
      </c>
      <c r="C92" s="18" t="str">
        <f>_xlfn.XLOOKUP(A92,[1]Tabelle1!$A$2:$A$196,[1]Tabelle1!$C$2:$C$196)</f>
        <v>asia</v>
      </c>
      <c r="D92" t="s">
        <v>272</v>
      </c>
      <c r="E92" s="17" t="str">
        <f>_xlfn.XLOOKUP(A92,[2]lex!$A$2:$A$195, [2]lex!$HU$2:$HU$195)</f>
        <v>75.62</v>
      </c>
      <c r="F92" s="17" t="str">
        <f>_xlfn.XLOOKUP(A92,[3]gdp_pcap!$A$2:$A$194,[3]gdp_pcap!$HT$2:$HT$194 )</f>
        <v>7567.34334</v>
      </c>
      <c r="G92" s="17" t="str">
        <f>_xlfn.XLOOKUP($A92,[4]ag_lnd_totl_k2!$A$2:$A$195, [4]ag_lnd_totl_k2!$BM$2:$BM$195)</f>
        <v>191800</v>
      </c>
      <c r="H92" s="17" t="str">
        <f>_xlfn.XLOOKUP($A92,[5]industrial_water_withdrawal_per!$A$2:$A$179,[5]industrial_water_withdrawal_per!$BH$2:$BH$179 )</f>
        <v>4.3864</v>
      </c>
      <c r="I92" s="17" t="str">
        <f>_xlfn.XLOOKUP($A92,[6]agricultural_water_withdrawal_p!$A$2:$A$180,[6]agricultural_water_withdrawal_p!$BH$2:$BH$180 )</f>
        <v>92.689</v>
      </c>
      <c r="J92" s="17" t="str">
        <f>_xlfn.XLOOKUP($A92,[7]total_water_withdrawal_billion_!$A$2:$A$180, [7]total_water_withdrawal_billion_!$BK$2:$BK$180  )</f>
        <v>7.66</v>
      </c>
      <c r="K92" s="17" t="str">
        <f>_xlfn.XLOOKUP($A92,[8]hydro_power_generation_total!$A$2:$A$119,[8]hydro_power_generation_total!$BA$2:$BA$119 )</f>
        <v>888200</v>
      </c>
      <c r="L92" s="17" t="str">
        <f>_xlfn.XLOOKUP($A92,[9]ag_lnd_prcp_mm!$A$2:$A$182, [9]ag_lnd_prcp_mm!$BL$2:$BL$182)</f>
        <v>533</v>
      </c>
      <c r="M92" s="17" t="str">
        <f>_xlfn.XLOOKUP($A92,[10]co2_pcap_cons!$A$2:$A$193, [10]co2_pcap_cons!$HQ$2:$HQ$193)</f>
        <v>2.808</v>
      </c>
      <c r="N92" s="17" t="str">
        <f>_xlfn.XLOOKUP($A92,[11]primary_forest_area_ha!$A$2:$A$193, [11]primary_forest_area_ha!$AD$2:$AD$193)</f>
        <v>630000</v>
      </c>
      <c r="O92" s="17" t="str">
        <f>_xlfn.XLOOKUP($A92,[12]en_mam_thrd_no!$A$2:$A$195,[12]en_mam_thrd_no!$G$2:$G$195)</f>
        <v>5</v>
      </c>
      <c r="P92" s="17" t="str">
        <f>_xlfn.XLOOKUP($A92,[13]en_fsh_thrd_no!$A$2:$A$195,[13]en_fsh_thrd_no!$G$2:$G$195)</f>
        <v>12</v>
      </c>
      <c r="Q92" s="17" t="str">
        <f>_xlfn.XLOOKUP($A92,[14]en_bir_thrd_no!$A$2:$A$195,[14]en_bir_thrd_no!$G$2:$G$195)</f>
        <v>15</v>
      </c>
      <c r="R92" s="17" t="str">
        <f>_xlfn.XLOOKUP($A92,[15]en_hpt_thrd_no!$A$2:$A$195,[15]en_hpt_thrd_no!$G$2:$G$195)</f>
        <v>13</v>
      </c>
      <c r="S92" s="17" t="str">
        <f>_xlfn.XLOOKUP($A92,[16]er_lnd_ptld_zs!$A$2:$A$194, [16]er_lnd_ptld_zs!$O$2:$O$194)</f>
        <v>6.8</v>
      </c>
      <c r="T92" s="17" t="e">
        <f>_xlfn.XLOOKUP($A92,[17]er_mrn_ptmr_zs!$A$2:$A$155,[17]er_mrn_ptmr_zs!$O$2:$O$155)</f>
        <v>#N/A</v>
      </c>
    </row>
    <row r="93" spans="1:20" x14ac:dyDescent="0.2">
      <c r="A93" t="s">
        <v>273</v>
      </c>
      <c r="B93" t="s">
        <v>274</v>
      </c>
      <c r="C93" s="18" t="str">
        <f>_xlfn.XLOOKUP(A93,[1]Tabelle1!$A$2:$A$196,[1]Tabelle1!$C$2:$C$196)</f>
        <v>asia</v>
      </c>
      <c r="D93" t="s">
        <v>275</v>
      </c>
      <c r="E93" s="17" t="str">
        <f>_xlfn.XLOOKUP(A93,[2]lex!$A$2:$A$195, [2]lex!$HU$2:$HU$195)</f>
        <v>73.51</v>
      </c>
      <c r="F93" s="17" t="str">
        <f>_xlfn.XLOOKUP(A93,[3]gdp_pcap!$A$2:$A$194,[3]gdp_pcap!$HT$2:$HT$194 )</f>
        <v>7412.02083</v>
      </c>
      <c r="G93" s="17" t="str">
        <f>_xlfn.XLOOKUP($A93,[4]ag_lnd_totl_k2!$A$2:$A$195, [4]ag_lnd_totl_k2!$BM$2:$BM$195)</f>
        <v>176520</v>
      </c>
      <c r="H93" s="17" t="str">
        <f>_xlfn.XLOOKUP($A93,[5]industrial_water_withdrawal_per!$A$2:$A$179,[5]industrial_water_withdrawal_per!$BH$2:$BH$179 )</f>
        <v>1.511</v>
      </c>
      <c r="I93" s="17" t="str">
        <f>_xlfn.XLOOKUP($A93,[6]agricultural_water_withdrawal_p!$A$2:$A$180,[6]agricultural_water_withdrawal_p!$BH$2:$BH$180 )</f>
        <v>94.002</v>
      </c>
      <c r="J93" s="17" t="str">
        <f>_xlfn.XLOOKUP($A93,[7]total_water_withdrawal_billion_!$A$2:$A$180, [7]total_water_withdrawal_billion_!$BK$2:$BK$180  )</f>
        <v>2.184</v>
      </c>
      <c r="K93" s="17" t="str">
        <f>_xlfn.XLOOKUP($A93,[8]hydro_power_generation_total!$A$2:$A$119,[8]hydro_power_generation_total!$BA$2:$BA$119 )</f>
        <v>2236</v>
      </c>
      <c r="L93" s="17" t="str">
        <f>_xlfn.XLOOKUP($A93,[9]ag_lnd_prcp_mm!$A$2:$A$182, [9]ag_lnd_prcp_mm!$BL$2:$BL$182)</f>
        <v>1904</v>
      </c>
      <c r="M93" s="17" t="str">
        <f>_xlfn.XLOOKUP($A93,[10]co2_pcap_cons!$A$2:$A$193, [10]co2_pcap_cons!$HQ$2:$HQ$193)</f>
        <v>2.551</v>
      </c>
      <c r="N93" s="17" t="str">
        <f>_xlfn.XLOOKUP($A93,[11]primary_forest_area_ha!$A$2:$A$193, [11]primary_forest_area_ha!$AD$2:$AD$193)</f>
        <v>322000</v>
      </c>
      <c r="O93" s="17" t="str">
        <f>_xlfn.XLOOKUP($A93,[12]en_mam_thrd_no!$A$2:$A$195,[12]en_mam_thrd_no!$G$2:$G$195)</f>
        <v>44</v>
      </c>
      <c r="P93" s="17" t="str">
        <f>_xlfn.XLOOKUP($A93,[13]en_fsh_thrd_no!$A$2:$A$195,[13]en_fsh_thrd_no!$G$2:$G$195)</f>
        <v>94</v>
      </c>
      <c r="Q93" s="17" t="str">
        <f>_xlfn.XLOOKUP($A93,[14]en_bir_thrd_no!$A$2:$A$195,[14]en_bir_thrd_no!$G$2:$G$195)</f>
        <v>32</v>
      </c>
      <c r="R93" s="17" t="str">
        <f>_xlfn.XLOOKUP($A93,[15]en_hpt_thrd_no!$A$2:$A$195,[15]en_hpt_thrd_no!$G$2:$G$195)</f>
        <v>51</v>
      </c>
      <c r="S93" s="17" t="str">
        <f>_xlfn.XLOOKUP($A93,[16]er_lnd_ptld_zs!$A$2:$A$194, [16]er_lnd_ptld_zs!$O$2:$O$194)</f>
        <v>39.8</v>
      </c>
      <c r="T93" s="17" t="str">
        <f>_xlfn.XLOOKUP($A93,[17]er_mrn_ptmr_zs!$A$2:$A$155,[17]er_mrn_ptmr_zs!$O$2:$O$155)</f>
        <v>1.5</v>
      </c>
    </row>
    <row r="94" spans="1:20" x14ac:dyDescent="0.2">
      <c r="A94" t="s">
        <v>276</v>
      </c>
      <c r="B94" t="s">
        <v>277</v>
      </c>
      <c r="C94" s="18" t="str">
        <f>_xlfn.XLOOKUP(A94,[1]Tabelle1!$A$2:$A$196,[1]Tabelle1!$C$2:$C$196)</f>
        <v>asia</v>
      </c>
      <c r="D94" t="s">
        <v>278</v>
      </c>
      <c r="E94" s="17" t="str">
        <f>_xlfn.XLOOKUP(A94,[2]lex!$A$2:$A$195, [2]lex!$HU$2:$HU$195)</f>
        <v>71.63</v>
      </c>
      <c r="F94" s="17" t="str">
        <f>_xlfn.XLOOKUP(A94,[3]gdp_pcap!$A$2:$A$194,[3]gdp_pcap!$HT$2:$HT$194 )</f>
        <v>3420.85689</v>
      </c>
      <c r="G94" s="17" t="str">
        <f>_xlfn.XLOOKUP($A94,[4]ag_lnd_totl_k2!$A$2:$A$195, [4]ag_lnd_totl_k2!$BM$2:$BM$195)</f>
        <v>810</v>
      </c>
      <c r="H94" s="17" t="e">
        <f>_xlfn.XLOOKUP($A94,[5]industrial_water_withdrawal_per!$A$2:$A$179,[5]industrial_water_withdrawal_per!$BH$2:$BH$179 )</f>
        <v>#N/A</v>
      </c>
      <c r="I94" s="17" t="e">
        <f>_xlfn.XLOOKUP($A94,[6]agricultural_water_withdrawal_p!$A$2:$A$180,[6]agricultural_water_withdrawal_p!$BH$2:$BH$180 )</f>
        <v>#N/A</v>
      </c>
      <c r="J94" s="17" t="e">
        <f>_xlfn.XLOOKUP($A94,[7]total_water_withdrawal_billion_!$A$2:$A$180, [7]total_water_withdrawal_billion_!$BK$2:$BK$180  )</f>
        <v>#N/A</v>
      </c>
      <c r="K94" s="17" t="e">
        <f>_xlfn.XLOOKUP($A94,[8]hydro_power_generation_total!$A$2:$A$119,[8]hydro_power_generation_total!$BA$2:$BA$119 )</f>
        <v>#N/A</v>
      </c>
      <c r="L94" s="17" t="e">
        <f>_xlfn.XLOOKUP($A94,[9]ag_lnd_prcp_mm!$A$2:$A$182, [9]ag_lnd_prcp_mm!$BL$2:$BL$182)</f>
        <v>#N/A</v>
      </c>
      <c r="M94" s="17" t="str">
        <f>_xlfn.XLOOKUP($A94,[10]co2_pcap_cons!$A$2:$A$193, [10]co2_pcap_cons!$HQ$2:$HQ$193)</f>
        <v>0.65</v>
      </c>
      <c r="N94" s="17">
        <f>_xlfn.XLOOKUP($A94,[11]primary_forest_area_ha!$A$2:$A$193, [11]primary_forest_area_ha!$AD$2:$AD$193)</f>
        <v>0</v>
      </c>
      <c r="O94" s="17" t="str">
        <f>_xlfn.XLOOKUP($A94,[12]en_mam_thrd_no!$A$2:$A$195,[12]en_mam_thrd_no!$G$2:$G$195)</f>
        <v>2</v>
      </c>
      <c r="P94" s="17" t="str">
        <f>_xlfn.XLOOKUP($A94,[13]en_fsh_thrd_no!$A$2:$A$195,[13]en_fsh_thrd_no!$G$2:$G$195)</f>
        <v>24</v>
      </c>
      <c r="Q94" s="17" t="str">
        <f>_xlfn.XLOOKUP($A94,[14]en_bir_thrd_no!$A$2:$A$195,[14]en_bir_thrd_no!$G$2:$G$195)</f>
        <v>6</v>
      </c>
      <c r="R94" s="17">
        <f>_xlfn.XLOOKUP($A94,[15]en_hpt_thrd_no!$A$2:$A$195,[15]en_hpt_thrd_no!$G$2:$G$195)</f>
        <v>0</v>
      </c>
      <c r="S94" s="17" t="str">
        <f>_xlfn.XLOOKUP($A94,[16]er_lnd_ptld_zs!$A$2:$A$194, [16]er_lnd_ptld_zs!$O$2:$O$194)</f>
        <v>22.9</v>
      </c>
      <c r="T94" s="17" t="str">
        <f>_xlfn.XLOOKUP($A94,[17]er_mrn_ptmr_zs!$A$2:$A$155,[17]er_mrn_ptmr_zs!$O$2:$O$155)</f>
        <v>11.9</v>
      </c>
    </row>
    <row r="95" spans="1:20" x14ac:dyDescent="0.2">
      <c r="A95" t="s">
        <v>279</v>
      </c>
      <c r="B95" t="s">
        <v>280</v>
      </c>
      <c r="C95" s="18" t="str">
        <f>_xlfn.XLOOKUP(A95,[1]Tabelle1!$A$2:$A$196,[1]Tabelle1!$C$2:$C$196)</f>
        <v>americas</v>
      </c>
      <c r="D95" t="s">
        <v>281</v>
      </c>
      <c r="E95" s="17" t="str">
        <f>_xlfn.XLOOKUP(A95,[2]lex!$A$2:$A$195, [2]lex!$HU$2:$HU$195)</f>
        <v>75.32</v>
      </c>
      <c r="F95" s="17" t="str">
        <f>_xlfn.XLOOKUP(A95,[3]gdp_pcap!$A$2:$A$194,[3]gdp_pcap!$HT$2:$HT$194 )</f>
        <v>32676.06378</v>
      </c>
      <c r="G95" s="17" t="str">
        <f>_xlfn.XLOOKUP($A95,[4]ag_lnd_totl_k2!$A$2:$A$195, [4]ag_lnd_totl_k2!$BM$2:$BM$195)</f>
        <v>260</v>
      </c>
      <c r="H95" s="17">
        <f>_xlfn.XLOOKUP($A95,[5]industrial_water_withdrawal_per!$A$2:$A$179,[5]industrial_water_withdrawal_per!$BH$2:$BH$179 )</f>
        <v>0</v>
      </c>
      <c r="I95" s="17" t="str">
        <f>_xlfn.XLOOKUP($A95,[6]agricultural_water_withdrawal_p!$A$2:$A$180,[6]agricultural_water_withdrawal_p!$BH$2:$BH$180 )</f>
        <v>1.2821</v>
      </c>
      <c r="J95" s="17" t="str">
        <f>_xlfn.XLOOKUP($A95,[7]total_water_withdrawal_billion_!$A$2:$A$180, [7]total_water_withdrawal_billion_!$BK$2:$BK$180  )</f>
        <v>0.0156</v>
      </c>
      <c r="K95" s="17" t="e">
        <f>_xlfn.XLOOKUP($A95,[8]hydro_power_generation_total!$A$2:$A$119,[8]hydro_power_generation_total!$BA$2:$BA$119 )</f>
        <v>#N/A</v>
      </c>
      <c r="L95" s="17" t="str">
        <f>_xlfn.XLOOKUP($A95,[9]ag_lnd_prcp_mm!$A$2:$A$182, [9]ag_lnd_prcp_mm!$BL$2:$BL$182)</f>
        <v>1427</v>
      </c>
      <c r="M95" s="17" t="str">
        <f>_xlfn.XLOOKUP($A95,[10]co2_pcap_cons!$A$2:$A$193, [10]co2_pcap_cons!$HQ$2:$HQ$193)</f>
        <v>4.663</v>
      </c>
      <c r="N95" s="17">
        <f>_xlfn.XLOOKUP($A95,[11]primary_forest_area_ha!$A$2:$A$193, [11]primary_forest_area_ha!$AD$2:$AD$193)</f>
        <v>0</v>
      </c>
      <c r="O95" s="17" t="str">
        <f>_xlfn.XLOOKUP($A95,[12]en_mam_thrd_no!$A$2:$A$195,[12]en_mam_thrd_no!$G$2:$G$195)</f>
        <v>2</v>
      </c>
      <c r="P95" s="17" t="str">
        <f>_xlfn.XLOOKUP($A95,[13]en_fsh_thrd_no!$A$2:$A$195,[13]en_fsh_thrd_no!$G$2:$G$195)</f>
        <v>47</v>
      </c>
      <c r="Q95" s="17" t="str">
        <f>_xlfn.XLOOKUP($A95,[14]en_bir_thrd_no!$A$2:$A$195,[14]en_bir_thrd_no!$G$2:$G$195)</f>
        <v>2</v>
      </c>
      <c r="R95" s="17" t="str">
        <f>_xlfn.XLOOKUP($A95,[15]en_hpt_thrd_no!$A$2:$A$195,[15]en_hpt_thrd_no!$G$2:$G$195)</f>
        <v>5</v>
      </c>
      <c r="S95" s="17" t="str">
        <f>_xlfn.XLOOKUP($A95,[16]er_lnd_ptld_zs!$A$2:$A$194, [16]er_lnd_ptld_zs!$O$2:$O$194)</f>
        <v>16.9</v>
      </c>
      <c r="T95" s="17" t="str">
        <f>_xlfn.XLOOKUP($A95,[17]er_mrn_ptmr_zs!$A$2:$A$155,[17]er_mrn_ptmr_zs!$O$2:$O$155)</f>
        <v>4.5</v>
      </c>
    </row>
    <row r="96" spans="1:20" x14ac:dyDescent="0.2">
      <c r="A96" t="s">
        <v>282</v>
      </c>
      <c r="B96" t="s">
        <v>283</v>
      </c>
      <c r="C96" s="18" t="str">
        <f>_xlfn.XLOOKUP(A96,[1]Tabelle1!$A$2:$A$196,[1]Tabelle1!$C$2:$C$196)</f>
        <v>asia</v>
      </c>
      <c r="D96" t="s">
        <v>284</v>
      </c>
      <c r="E96" s="17" t="str">
        <f>_xlfn.XLOOKUP(A96,[2]lex!$A$2:$A$195, [2]lex!$HU$2:$HU$195)</f>
        <v>83.7</v>
      </c>
      <c r="F96" s="17" t="str">
        <f>_xlfn.XLOOKUP(A96,[3]gdp_pcap!$A$2:$A$194,[3]gdp_pcap!$HT$2:$HT$194 )</f>
        <v>54667.24252</v>
      </c>
      <c r="G96" s="17" t="str">
        <f>_xlfn.XLOOKUP($A96,[4]ag_lnd_totl_k2!$A$2:$A$195, [4]ag_lnd_totl_k2!$BM$2:$BM$195)</f>
        <v>97600</v>
      </c>
      <c r="H96" s="17" t="str">
        <f>_xlfn.XLOOKUP($A96,[5]industrial_water_withdrawal_per!$A$2:$A$179,[5]industrial_water_withdrawal_per!$BH$2:$BH$179 )</f>
        <v>16.432</v>
      </c>
      <c r="I96" s="17" t="str">
        <f>_xlfn.XLOOKUP($A96,[6]agricultural_water_withdrawal_p!$A$2:$A$180,[6]agricultural_water_withdrawal_p!$BH$2:$BH$180 )</f>
        <v>58.932</v>
      </c>
      <c r="J96" s="17" t="str">
        <f>_xlfn.XLOOKUP($A96,[7]total_water_withdrawal_billion_!$A$2:$A$180, [7]total_water_withdrawal_billion_!$BK$2:$BK$180  )</f>
        <v>27.082</v>
      </c>
      <c r="K96" s="17" t="str">
        <f>_xlfn.XLOOKUP($A96,[8]hydro_power_generation_total!$A$2:$A$119,[8]hydro_power_generation_total!$BA$2:$BA$119 )</f>
        <v>316600</v>
      </c>
      <c r="L96" s="17" t="str">
        <f>_xlfn.XLOOKUP($A96,[9]ag_lnd_prcp_mm!$A$2:$A$182, [9]ag_lnd_prcp_mm!$BL$2:$BL$182)</f>
        <v>1274</v>
      </c>
      <c r="M96" s="17" t="str">
        <f>_xlfn.XLOOKUP($A96,[10]co2_pcap_cons!$A$2:$A$193, [10]co2_pcap_cons!$HQ$2:$HQ$193)</f>
        <v>13.528</v>
      </c>
      <c r="N96" s="17" t="str">
        <f>_xlfn.XLOOKUP($A96,[11]primary_forest_area_ha!$A$2:$A$193, [11]primary_forest_area_ha!$AD$2:$AD$193)</f>
        <v>3460000</v>
      </c>
      <c r="O96" s="17" t="str">
        <f>_xlfn.XLOOKUP($A96,[12]en_mam_thrd_no!$A$2:$A$195,[12]en_mam_thrd_no!$G$2:$G$195)</f>
        <v>12</v>
      </c>
      <c r="P96" s="17" t="str">
        <f>_xlfn.XLOOKUP($A96,[13]en_fsh_thrd_no!$A$2:$A$195,[13]en_fsh_thrd_no!$G$2:$G$195)</f>
        <v>69</v>
      </c>
      <c r="Q96" s="17" t="str">
        <f>_xlfn.XLOOKUP($A96,[14]en_bir_thrd_no!$A$2:$A$195,[14]en_bir_thrd_no!$G$2:$G$195)</f>
        <v>34</v>
      </c>
      <c r="R96" s="17" t="str">
        <f>_xlfn.XLOOKUP($A96,[15]en_hpt_thrd_no!$A$2:$A$195,[15]en_hpt_thrd_no!$G$2:$G$195)</f>
        <v>38</v>
      </c>
      <c r="S96" s="17" t="str">
        <f>_xlfn.XLOOKUP($A96,[16]er_lnd_ptld_zs!$A$2:$A$194, [16]er_lnd_ptld_zs!$O$2:$O$194)</f>
        <v>17.7</v>
      </c>
      <c r="T96" s="17" t="str">
        <f>_xlfn.XLOOKUP($A96,[17]er_mrn_ptmr_zs!$A$2:$A$155,[17]er_mrn_ptmr_zs!$O$2:$O$155)</f>
        <v>2.3</v>
      </c>
    </row>
    <row r="97" spans="1:20" x14ac:dyDescent="0.2">
      <c r="A97" t="s">
        <v>285</v>
      </c>
      <c r="B97" t="s">
        <v>286</v>
      </c>
      <c r="C97" s="18" t="str">
        <f>_xlfn.XLOOKUP(A97,[1]Tabelle1!$A$2:$A$196,[1]Tabelle1!$C$2:$C$196)</f>
        <v>asia</v>
      </c>
      <c r="D97" t="s">
        <v>287</v>
      </c>
      <c r="E97" s="17" t="str">
        <f>_xlfn.XLOOKUP(A97,[2]lex!$A$2:$A$195, [2]lex!$HU$2:$HU$195)</f>
        <v>81.71</v>
      </c>
      <c r="F97" s="17" t="str">
        <f>_xlfn.XLOOKUP(A97,[3]gdp_pcap!$A$2:$A$194,[3]gdp_pcap!$HT$2:$HT$194 )</f>
        <v>46572.35764</v>
      </c>
      <c r="G97" s="17" t="str">
        <f>_xlfn.XLOOKUP($A97,[4]ag_lnd_totl_k2!$A$2:$A$195, [4]ag_lnd_totl_k2!$BM$2:$BM$195)</f>
        <v>17820</v>
      </c>
      <c r="H97" s="17" t="str">
        <f>_xlfn.XLOOKUP($A97,[5]industrial_water_withdrawal_per!$A$2:$A$179,[5]industrial_water_withdrawal_per!$BH$2:$BH$179 )</f>
        <v>1.864</v>
      </c>
      <c r="I97" s="17" t="str">
        <f>_xlfn.XLOOKUP($A97,[6]agricultural_water_withdrawal_p!$A$2:$A$180,[6]agricultural_water_withdrawal_p!$BH$2:$BH$180 )</f>
        <v>62.272</v>
      </c>
      <c r="J97" s="17" t="str">
        <f>_xlfn.XLOOKUP($A97,[7]total_water_withdrawal_billion_!$A$2:$A$180, [7]total_water_withdrawal_billion_!$BK$2:$BK$180  )</f>
        <v>1.25</v>
      </c>
      <c r="K97" s="17" t="e">
        <f>_xlfn.XLOOKUP($A97,[8]hydro_power_generation_total!$A$2:$A$119,[8]hydro_power_generation_total!$BA$2:$BA$119 )</f>
        <v>#N/A</v>
      </c>
      <c r="L97" s="17" t="str">
        <f>_xlfn.XLOOKUP($A97,[9]ag_lnd_prcp_mm!$A$2:$A$182, [9]ag_lnd_prcp_mm!$BL$2:$BL$182)</f>
        <v>121</v>
      </c>
      <c r="M97" s="17" t="str">
        <f>_xlfn.XLOOKUP($A97,[10]co2_pcap_cons!$A$2:$A$193, [10]co2_pcap_cons!$HQ$2:$HQ$193)</f>
        <v>24.014</v>
      </c>
      <c r="N97" s="17">
        <f>_xlfn.XLOOKUP($A97,[11]primary_forest_area_ha!$A$2:$A$193, [11]primary_forest_area_ha!$AD$2:$AD$193)</f>
        <v>0</v>
      </c>
      <c r="O97" s="17" t="str">
        <f>_xlfn.XLOOKUP($A97,[12]en_mam_thrd_no!$A$2:$A$195,[12]en_mam_thrd_no!$G$2:$G$195)</f>
        <v>7</v>
      </c>
      <c r="P97" s="17" t="str">
        <f>_xlfn.XLOOKUP($A97,[13]en_fsh_thrd_no!$A$2:$A$195,[13]en_fsh_thrd_no!$G$2:$G$195)</f>
        <v>37</v>
      </c>
      <c r="Q97" s="17" t="str">
        <f>_xlfn.XLOOKUP($A97,[14]en_bir_thrd_no!$A$2:$A$195,[14]en_bir_thrd_no!$G$2:$G$195)</f>
        <v>11</v>
      </c>
      <c r="R97" s="17">
        <f>_xlfn.XLOOKUP($A97,[15]en_hpt_thrd_no!$A$2:$A$195,[15]en_hpt_thrd_no!$G$2:$G$195)</f>
        <v>0</v>
      </c>
      <c r="S97" s="17" t="str">
        <f>_xlfn.XLOOKUP($A97,[16]er_lnd_ptld_zs!$A$2:$A$194, [16]er_lnd_ptld_zs!$O$2:$O$194)</f>
        <v>17.1</v>
      </c>
      <c r="T97" s="17" t="str">
        <f>_xlfn.XLOOKUP($A97,[17]er_mrn_ptmr_zs!$A$2:$A$155,[17]er_mrn_ptmr_zs!$O$2:$O$155)</f>
        <v>3.2</v>
      </c>
    </row>
    <row r="98" spans="1:20" x14ac:dyDescent="0.2">
      <c r="A98" t="s">
        <v>288</v>
      </c>
      <c r="B98" t="s">
        <v>289</v>
      </c>
      <c r="C98" s="18" t="str">
        <f>_xlfn.XLOOKUP(A98,[1]Tabelle1!$A$2:$A$196,[1]Tabelle1!$C$2:$C$196)</f>
        <v>asia</v>
      </c>
      <c r="D98" t="s">
        <v>290</v>
      </c>
      <c r="E98" s="17" t="str">
        <f>_xlfn.XLOOKUP(A98,[2]lex!$A$2:$A$195, [2]lex!$HU$2:$HU$195)</f>
        <v>66.77</v>
      </c>
      <c r="F98" s="17" t="str">
        <f>_xlfn.XLOOKUP(A98,[3]gdp_pcap!$A$2:$A$194,[3]gdp_pcap!$HT$2:$HT$194 )</f>
        <v>8943.6912</v>
      </c>
      <c r="G98" s="17" t="str">
        <f>_xlfn.XLOOKUP($A98,[4]ag_lnd_totl_k2!$A$2:$A$195, [4]ag_lnd_totl_k2!$BM$2:$BM$195)</f>
        <v>230800</v>
      </c>
      <c r="H98" s="17" t="str">
        <f>_xlfn.XLOOKUP($A98,[5]industrial_water_withdrawal_per!$A$2:$A$179,[5]industrial_water_withdrawal_per!$BH$2:$BH$179 )</f>
        <v>2.3129</v>
      </c>
      <c r="I98" s="17" t="str">
        <f>_xlfn.XLOOKUP($A98,[6]agricultural_water_withdrawal_p!$A$2:$A$180,[6]agricultural_water_withdrawal_p!$BH$2:$BH$180 )</f>
        <v>95.918</v>
      </c>
      <c r="J98" s="17" t="str">
        <f>_xlfn.XLOOKUP($A98,[7]total_water_withdrawal_billion_!$A$2:$A$180, [7]total_water_withdrawal_billion_!$BK$2:$BK$180  )</f>
        <v>7.35</v>
      </c>
      <c r="K98" s="17" t="e">
        <f>_xlfn.XLOOKUP($A98,[8]hydro_power_generation_total!$A$2:$A$119,[8]hydro_power_generation_total!$BA$2:$BA$119 )</f>
        <v>#N/A</v>
      </c>
      <c r="L98" s="17" t="str">
        <f>_xlfn.XLOOKUP($A98,[9]ag_lnd_prcp_mm!$A$2:$A$182, [9]ag_lnd_prcp_mm!$BL$2:$BL$182)</f>
        <v>1834</v>
      </c>
      <c r="M98" s="17" t="str">
        <f>_xlfn.XLOOKUP($A98,[10]co2_pcap_cons!$A$2:$A$193, [10]co2_pcap_cons!$HQ$2:$HQ$193)</f>
        <v>3.3</v>
      </c>
      <c r="N98" s="17" t="str">
        <f>_xlfn.XLOOKUP($A98,[11]primary_forest_area_ha!$A$2:$A$193, [11]primary_forest_area_ha!$AD$2:$AD$193)</f>
        <v>1193730</v>
      </c>
      <c r="O98" s="17" t="str">
        <f>_xlfn.XLOOKUP($A98,[12]en_mam_thrd_no!$A$2:$A$195,[12]en_mam_thrd_no!$G$2:$G$195)</f>
        <v>49</v>
      </c>
      <c r="P98" s="17" t="str">
        <f>_xlfn.XLOOKUP($A98,[13]en_fsh_thrd_no!$A$2:$A$195,[13]en_fsh_thrd_no!$G$2:$G$195)</f>
        <v>56</v>
      </c>
      <c r="Q98" s="17" t="str">
        <f>_xlfn.XLOOKUP($A98,[14]en_bir_thrd_no!$A$2:$A$195,[14]en_bir_thrd_no!$G$2:$G$195)</f>
        <v>30</v>
      </c>
      <c r="R98" s="17" t="str">
        <f>_xlfn.XLOOKUP($A98,[15]en_hpt_thrd_no!$A$2:$A$195,[15]en_hpt_thrd_no!$G$2:$G$195)</f>
        <v>80</v>
      </c>
      <c r="S98" s="17" t="str">
        <f>_xlfn.XLOOKUP($A98,[16]er_lnd_ptld_zs!$A$2:$A$194, [16]er_lnd_ptld_zs!$O$2:$O$194)</f>
        <v>18.8</v>
      </c>
      <c r="T98" s="17" t="e">
        <f>_xlfn.XLOOKUP($A98,[17]er_mrn_ptmr_zs!$A$2:$A$155,[17]er_mrn_ptmr_zs!$O$2:$O$155)</f>
        <v>#N/A</v>
      </c>
    </row>
    <row r="99" spans="1:20" x14ac:dyDescent="0.2">
      <c r="A99" t="s">
        <v>291</v>
      </c>
      <c r="B99" t="s">
        <v>292</v>
      </c>
      <c r="C99" s="18" t="str">
        <f>_xlfn.XLOOKUP(A99,[1]Tabelle1!$A$2:$A$196,[1]Tabelle1!$C$2:$C$196)</f>
        <v>asia</v>
      </c>
      <c r="D99" t="s">
        <v>293</v>
      </c>
      <c r="E99" s="17" t="str">
        <f>_xlfn.XLOOKUP(A99,[2]lex!$A$2:$A$195, [2]lex!$HU$2:$HU$195)</f>
        <v>79.31</v>
      </c>
      <c r="F99" s="17" t="str">
        <f>_xlfn.XLOOKUP(A99,[3]gdp_pcap!$A$2:$A$194,[3]gdp_pcap!$HT$2:$HT$194 )</f>
        <v>10819.79651</v>
      </c>
      <c r="G99" s="17" t="str">
        <f>_xlfn.XLOOKUP($A99,[4]ag_lnd_totl_k2!$A$2:$A$195, [4]ag_lnd_totl_k2!$BM$2:$BM$195)</f>
        <v>10230</v>
      </c>
      <c r="H99" s="17" t="str">
        <f>_xlfn.XLOOKUP($A99,[5]industrial_water_withdrawal_per!$A$2:$A$179,[5]industrial_water_withdrawal_per!$BH$2:$BH$179 )</f>
        <v>48.913</v>
      </c>
      <c r="I99" s="17" t="str">
        <f>_xlfn.XLOOKUP($A99,[6]agricultural_water_withdrawal_p!$A$2:$A$180,[6]agricultural_water_withdrawal_p!$BH$2:$BH$180 )</f>
        <v>38.043</v>
      </c>
      <c r="J99" s="17" t="str">
        <f>_xlfn.XLOOKUP($A99,[7]total_water_withdrawal_billion_!$A$2:$A$180, [7]total_water_withdrawal_billion_!$BK$2:$BK$180  )</f>
        <v>1.84</v>
      </c>
      <c r="K99" s="17" t="str">
        <f>_xlfn.XLOOKUP($A99,[8]hydro_power_generation_total!$A$2:$A$119,[8]hydro_power_generation_total!$BA$2:$BA$119 )</f>
        <v>72140</v>
      </c>
      <c r="L99" s="17" t="str">
        <f>_xlfn.XLOOKUP($A99,[9]ag_lnd_prcp_mm!$A$2:$A$182, [9]ag_lnd_prcp_mm!$BL$2:$BL$182)</f>
        <v>661</v>
      </c>
      <c r="M99" s="17" t="str">
        <f>_xlfn.XLOOKUP($A99,[10]co2_pcap_cons!$A$2:$A$193, [10]co2_pcap_cons!$HQ$2:$HQ$193)</f>
        <v>3.92</v>
      </c>
      <c r="N99" s="17">
        <f>_xlfn.XLOOKUP($A99,[11]primary_forest_area_ha!$A$2:$A$193, [11]primary_forest_area_ha!$AD$2:$AD$193)</f>
        <v>0</v>
      </c>
      <c r="O99" s="17" t="str">
        <f>_xlfn.XLOOKUP($A99,[12]en_mam_thrd_no!$A$2:$A$195,[12]en_mam_thrd_no!$G$2:$G$195)</f>
        <v>10</v>
      </c>
      <c r="P99" s="17" t="str">
        <f>_xlfn.XLOOKUP($A99,[13]en_fsh_thrd_no!$A$2:$A$195,[13]en_fsh_thrd_no!$G$2:$G$195)</f>
        <v>43</v>
      </c>
      <c r="Q99" s="17" t="str">
        <f>_xlfn.XLOOKUP($A99,[14]en_bir_thrd_no!$A$2:$A$195,[14]en_bir_thrd_no!$G$2:$G$195)</f>
        <v>12</v>
      </c>
      <c r="R99" s="17" t="str">
        <f>_xlfn.XLOOKUP($A99,[15]en_hpt_thrd_no!$A$2:$A$195,[15]en_hpt_thrd_no!$G$2:$G$195)</f>
        <v>100</v>
      </c>
      <c r="S99" s="17" t="str">
        <f>_xlfn.XLOOKUP($A99,[16]er_lnd_ptld_zs!$A$2:$A$194, [16]er_lnd_ptld_zs!$O$2:$O$194)</f>
        <v>13</v>
      </c>
      <c r="T99" s="17" t="str">
        <f>_xlfn.XLOOKUP($A99,[17]er_mrn_ptmr_zs!$A$2:$A$155,[17]er_mrn_ptmr_zs!$O$2:$O$155)</f>
        <v>0.2</v>
      </c>
    </row>
    <row r="100" spans="1:20" x14ac:dyDescent="0.2">
      <c r="A100" t="s">
        <v>294</v>
      </c>
      <c r="B100" t="s">
        <v>295</v>
      </c>
      <c r="C100" s="18" t="str">
        <f>_xlfn.XLOOKUP(A100,[1]Tabelle1!$A$2:$A$196,[1]Tabelle1!$C$2:$C$196)</f>
        <v>africa</v>
      </c>
      <c r="D100" t="s">
        <v>296</v>
      </c>
      <c r="E100" s="17" t="str">
        <f>_xlfn.XLOOKUP(A100,[2]lex!$A$2:$A$195, [2]lex!$HU$2:$HU$195)</f>
        <v>61.9</v>
      </c>
      <c r="F100" s="17" t="str">
        <f>_xlfn.XLOOKUP(A100,[3]gdp_pcap!$A$2:$A$194,[3]gdp_pcap!$HT$2:$HT$194 )</f>
        <v>1751.85031</v>
      </c>
      <c r="G100" s="17" t="str">
        <f>_xlfn.XLOOKUP($A100,[4]ag_lnd_totl_k2!$A$2:$A$195, [4]ag_lnd_totl_k2!$BM$2:$BM$195)</f>
        <v>96320</v>
      </c>
      <c r="H100" s="17" t="str">
        <f>_xlfn.XLOOKUP($A100,[5]industrial_water_withdrawal_per!$A$2:$A$179,[5]industrial_water_withdrawal_per!$BH$2:$BH$179 )</f>
        <v>36.6</v>
      </c>
      <c r="I100" s="17" t="str">
        <f>_xlfn.XLOOKUP($A100,[6]agricultural_water_withdrawal_p!$A$2:$A$180,[6]agricultural_water_withdrawal_p!$BH$2:$BH$180 )</f>
        <v>8.4304</v>
      </c>
      <c r="J100" s="17" t="str">
        <f>_xlfn.XLOOKUP($A100,[7]total_water_withdrawal_billion_!$A$2:$A$180, [7]total_water_withdrawal_billion_!$BK$2:$BK$180  )</f>
        <v>0.1459</v>
      </c>
      <c r="K100" s="17" t="e">
        <f>_xlfn.XLOOKUP($A100,[8]hydro_power_generation_total!$A$2:$A$119,[8]hydro_power_generation_total!$BA$2:$BA$119 )</f>
        <v>#N/A</v>
      </c>
      <c r="L100" s="17" t="str">
        <f>_xlfn.XLOOKUP($A100,[9]ag_lnd_prcp_mm!$A$2:$A$182, [9]ag_lnd_prcp_mm!$BL$2:$BL$182)</f>
        <v>2391</v>
      </c>
      <c r="M100" s="17" t="str">
        <f>_xlfn.XLOOKUP($A100,[10]co2_pcap_cons!$A$2:$A$193, [10]co2_pcap_cons!$HQ$2:$HQ$193)</f>
        <v>0.354</v>
      </c>
      <c r="N100" s="17" t="str">
        <f>_xlfn.XLOOKUP($A100,[11]primary_forest_area_ha!$A$2:$A$193, [11]primary_forest_area_ha!$AD$2:$AD$193)</f>
        <v>175000</v>
      </c>
      <c r="O100" s="17" t="str">
        <f>_xlfn.XLOOKUP($A100,[12]en_mam_thrd_no!$A$2:$A$195,[12]en_mam_thrd_no!$G$2:$G$195)</f>
        <v>26</v>
      </c>
      <c r="P100" s="17" t="str">
        <f>_xlfn.XLOOKUP($A100,[13]en_fsh_thrd_no!$A$2:$A$195,[13]en_fsh_thrd_no!$G$2:$G$195)</f>
        <v>93</v>
      </c>
      <c r="Q100" s="17" t="str">
        <f>_xlfn.XLOOKUP($A100,[14]en_bir_thrd_no!$A$2:$A$195,[14]en_bir_thrd_no!$G$2:$G$195)</f>
        <v>14</v>
      </c>
      <c r="R100" s="17" t="str">
        <f>_xlfn.XLOOKUP($A100,[15]en_hpt_thrd_no!$A$2:$A$195,[15]en_hpt_thrd_no!$G$2:$G$195)</f>
        <v>138</v>
      </c>
      <c r="S100" s="17" t="str">
        <f>_xlfn.XLOOKUP($A100,[16]er_lnd_ptld_zs!$A$2:$A$194, [16]er_lnd_ptld_zs!$O$2:$O$194)</f>
        <v>4</v>
      </c>
      <c r="T100" s="17" t="str">
        <f>_xlfn.XLOOKUP($A100,[17]er_mrn_ptmr_zs!$A$2:$A$155,[17]er_mrn_ptmr_zs!$O$2:$O$155)</f>
        <v>0.1</v>
      </c>
    </row>
    <row r="101" spans="1:20" x14ac:dyDescent="0.2">
      <c r="A101" t="s">
        <v>297</v>
      </c>
      <c r="B101" t="s">
        <v>298</v>
      </c>
      <c r="C101" s="18" t="str">
        <f>_xlfn.XLOOKUP(A101,[1]Tabelle1!$A$2:$A$196,[1]Tabelle1!$C$2:$C$196)</f>
        <v>africa</v>
      </c>
      <c r="D101" t="s">
        <v>299</v>
      </c>
      <c r="E101" s="17" t="str">
        <f>_xlfn.XLOOKUP(A101,[2]lex!$A$2:$A$195, [2]lex!$HU$2:$HU$195)</f>
        <v>76.07</v>
      </c>
      <c r="F101" s="17" t="str">
        <f>_xlfn.XLOOKUP(A101,[3]gdp_pcap!$A$2:$A$194,[3]gdp_pcap!$HT$2:$HT$194 )</f>
        <v>14636.39331</v>
      </c>
      <c r="G101" s="17" t="str">
        <f>_xlfn.XLOOKUP($A101,[4]ag_lnd_totl_k2!$A$2:$A$195, [4]ag_lnd_totl_k2!$BM$2:$BM$195)</f>
        <v>1759540</v>
      </c>
      <c r="H101" s="17" t="str">
        <f>_xlfn.XLOOKUP($A101,[5]industrial_water_withdrawal_per!$A$2:$A$179,[5]industrial_water_withdrawal_per!$BH$2:$BH$179 )</f>
        <v>4.8027</v>
      </c>
      <c r="I101" s="17" t="str">
        <f>_xlfn.XLOOKUP($A101,[6]agricultural_water_withdrawal_p!$A$2:$A$180,[6]agricultural_water_withdrawal_p!$BH$2:$BH$180 )</f>
        <v>83.19</v>
      </c>
      <c r="J101" s="17" t="str">
        <f>_xlfn.XLOOKUP($A101,[7]total_water_withdrawal_billion_!$A$2:$A$180, [7]total_water_withdrawal_billion_!$BK$2:$BK$180  )</f>
        <v>5.83</v>
      </c>
      <c r="K101" s="17" t="e">
        <f>_xlfn.XLOOKUP($A101,[8]hydro_power_generation_total!$A$2:$A$119,[8]hydro_power_generation_total!$BA$2:$BA$119 )</f>
        <v>#N/A</v>
      </c>
      <c r="L101" s="17" t="str">
        <f>_xlfn.XLOOKUP($A101,[9]ag_lnd_prcp_mm!$A$2:$A$182, [9]ag_lnd_prcp_mm!$BL$2:$BL$182)</f>
        <v>56</v>
      </c>
      <c r="M101" s="17" t="str">
        <f>_xlfn.XLOOKUP($A101,[10]co2_pcap_cons!$A$2:$A$193, [10]co2_pcap_cons!$HQ$2:$HQ$193)</f>
        <v>8.842</v>
      </c>
      <c r="N101" s="17">
        <f>_xlfn.XLOOKUP($A101,[11]primary_forest_area_ha!$A$2:$A$193, [11]primary_forest_area_ha!$AD$2:$AD$193)</f>
        <v>0</v>
      </c>
      <c r="O101" s="17" t="str">
        <f>_xlfn.XLOOKUP($A101,[12]en_mam_thrd_no!$A$2:$A$195,[12]en_mam_thrd_no!$G$2:$G$195)</f>
        <v>11</v>
      </c>
      <c r="P101" s="17" t="str">
        <f>_xlfn.XLOOKUP($A101,[13]en_fsh_thrd_no!$A$2:$A$195,[13]en_fsh_thrd_no!$G$2:$G$195)</f>
        <v>51</v>
      </c>
      <c r="Q101" s="17" t="str">
        <f>_xlfn.XLOOKUP($A101,[14]en_bir_thrd_no!$A$2:$A$195,[14]en_bir_thrd_no!$G$2:$G$195)</f>
        <v>11</v>
      </c>
      <c r="R101" s="17" t="str">
        <f>_xlfn.XLOOKUP($A101,[15]en_hpt_thrd_no!$A$2:$A$195,[15]en_hpt_thrd_no!$G$2:$G$195)</f>
        <v>9</v>
      </c>
      <c r="S101" s="17" t="str">
        <f>_xlfn.XLOOKUP($A101,[16]er_lnd_ptld_zs!$A$2:$A$194, [16]er_lnd_ptld_zs!$O$2:$O$194)</f>
        <v>0.1</v>
      </c>
      <c r="T101" s="17" t="str">
        <f>_xlfn.XLOOKUP($A101,[17]er_mrn_ptmr_zs!$A$2:$A$155,[17]er_mrn_ptmr_zs!$O$2:$O$155)</f>
        <v>0.6</v>
      </c>
    </row>
    <row r="102" spans="1:20" x14ac:dyDescent="0.2">
      <c r="A102" t="s">
        <v>300</v>
      </c>
      <c r="B102" t="s">
        <v>301</v>
      </c>
      <c r="C102" s="18" t="str">
        <f>_xlfn.XLOOKUP(A102,[1]Tabelle1!$A$2:$A$196,[1]Tabelle1!$C$2:$C$196)</f>
        <v>americas</v>
      </c>
      <c r="D102" t="s">
        <v>302</v>
      </c>
      <c r="E102" s="17" t="str">
        <f>_xlfn.XLOOKUP(A102,[2]lex!$A$2:$A$195, [2]lex!$HU$2:$HU$195)</f>
        <v>77.93</v>
      </c>
      <c r="F102" s="17" t="str">
        <f>_xlfn.XLOOKUP(A102,[3]gdp_pcap!$A$2:$A$194,[3]gdp_pcap!$HT$2:$HT$194 )</f>
        <v>25491.65151</v>
      </c>
      <c r="G102" s="17" t="str">
        <f>_xlfn.XLOOKUP($A102,[4]ag_lnd_totl_k2!$A$2:$A$195, [4]ag_lnd_totl_k2!$BM$2:$BM$195)</f>
        <v>610</v>
      </c>
      <c r="H102" s="17">
        <f>_xlfn.XLOOKUP($A102,[5]industrial_water_withdrawal_per!$A$2:$A$179,[5]industrial_water_withdrawal_per!$BH$2:$BH$179 )</f>
        <v>0</v>
      </c>
      <c r="I102" s="17" t="str">
        <f>_xlfn.XLOOKUP($A102,[6]agricultural_water_withdrawal_p!$A$2:$A$180,[6]agricultural_water_withdrawal_p!$BH$2:$BH$180 )</f>
        <v>70.862</v>
      </c>
      <c r="J102" s="17" t="str">
        <f>_xlfn.XLOOKUP($A102,[7]total_water_withdrawal_billion_!$A$2:$A$180, [7]total_water_withdrawal_billion_!$BK$2:$BK$180  )</f>
        <v>0.0429</v>
      </c>
      <c r="K102" s="17" t="e">
        <f>_xlfn.XLOOKUP($A102,[8]hydro_power_generation_total!$A$2:$A$119,[8]hydro_power_generation_total!$BA$2:$BA$119 )</f>
        <v>#N/A</v>
      </c>
      <c r="L102" s="17" t="str">
        <f>_xlfn.XLOOKUP($A102,[9]ag_lnd_prcp_mm!$A$2:$A$182, [9]ag_lnd_prcp_mm!$BL$2:$BL$182)</f>
        <v>2301</v>
      </c>
      <c r="M102" s="17" t="str">
        <f>_xlfn.XLOOKUP($A102,[10]co2_pcap_cons!$A$2:$A$193, [10]co2_pcap_cons!$HQ$2:$HQ$193)</f>
        <v>2.337</v>
      </c>
      <c r="N102" s="17" t="str">
        <f>_xlfn.XLOOKUP($A102,[11]primary_forest_area_ha!$A$2:$A$193, [11]primary_forest_area_ha!$AD$2:$AD$193)</f>
        <v>17150</v>
      </c>
      <c r="O102" s="17" t="str">
        <f>_xlfn.XLOOKUP($A102,[12]en_mam_thrd_no!$A$2:$A$195,[12]en_mam_thrd_no!$G$2:$G$195)</f>
        <v>2</v>
      </c>
      <c r="P102" s="17" t="str">
        <f>_xlfn.XLOOKUP($A102,[13]en_fsh_thrd_no!$A$2:$A$195,[13]en_fsh_thrd_no!$G$2:$G$195)</f>
        <v>47</v>
      </c>
      <c r="Q102" s="17" t="str">
        <f>_xlfn.XLOOKUP($A102,[14]en_bir_thrd_no!$A$2:$A$195,[14]en_bir_thrd_no!$G$2:$G$195)</f>
        <v>7</v>
      </c>
      <c r="R102" s="17" t="str">
        <f>_xlfn.XLOOKUP($A102,[15]en_hpt_thrd_no!$A$2:$A$195,[15]en_hpt_thrd_no!$G$2:$G$195)</f>
        <v>16</v>
      </c>
      <c r="S102" s="17" t="str">
        <f>_xlfn.XLOOKUP($A102,[16]er_lnd_ptld_zs!$A$2:$A$194, [16]er_lnd_ptld_zs!$O$2:$O$194)</f>
        <v>18.2</v>
      </c>
      <c r="T102" s="17" t="str">
        <f>_xlfn.XLOOKUP($A102,[17]er_mrn_ptmr_zs!$A$2:$A$155,[17]er_mrn_ptmr_zs!$O$2:$O$155)</f>
        <v>0.3</v>
      </c>
    </row>
    <row r="103" spans="1:20" x14ac:dyDescent="0.2">
      <c r="A103" t="s">
        <v>303</v>
      </c>
      <c r="B103" t="s">
        <v>304</v>
      </c>
      <c r="C103" s="18" t="str">
        <f>_xlfn.XLOOKUP(A103,[1]Tabelle1!$A$2:$A$196,[1]Tabelle1!$C$2:$C$196)</f>
        <v>europe</v>
      </c>
      <c r="D103" t="s">
        <v>305</v>
      </c>
      <c r="E103" s="17">
        <f>_xlfn.XLOOKUP(A103,[2]lex!$A$2:$A$195, [2]lex!$HU$2:$HU$195)</f>
        <v>0</v>
      </c>
      <c r="F103" s="17" t="e">
        <f>_xlfn.XLOOKUP(A103,[3]gdp_pcap!$A$2:$A$194,[3]gdp_pcap!$HT$2:$HT$194 )</f>
        <v>#N/A</v>
      </c>
      <c r="G103" s="17" t="str">
        <f>_xlfn.XLOOKUP($A103,[4]ag_lnd_totl_k2!$A$2:$A$195, [4]ag_lnd_totl_k2!$BM$2:$BM$195)</f>
        <v>160</v>
      </c>
      <c r="H103" s="17" t="e">
        <f>_xlfn.XLOOKUP($A103,[5]industrial_water_withdrawal_per!$A$2:$A$179,[5]industrial_water_withdrawal_per!$BH$2:$BH$179 )</f>
        <v>#N/A</v>
      </c>
      <c r="I103" s="17" t="e">
        <f>_xlfn.XLOOKUP($A103,[6]agricultural_water_withdrawal_p!$A$2:$A$180,[6]agricultural_water_withdrawal_p!$BH$2:$BH$180 )</f>
        <v>#N/A</v>
      </c>
      <c r="J103" s="17" t="e">
        <f>_xlfn.XLOOKUP($A103,[7]total_water_withdrawal_billion_!$A$2:$A$180, [7]total_water_withdrawal_billion_!$BK$2:$BK$180  )</f>
        <v>#N/A</v>
      </c>
      <c r="K103" s="17" t="e">
        <f>_xlfn.XLOOKUP($A103,[8]hydro_power_generation_total!$A$2:$A$119,[8]hydro_power_generation_total!$BA$2:$BA$119 )</f>
        <v>#N/A</v>
      </c>
      <c r="L103" s="17" t="e">
        <f>_xlfn.XLOOKUP($A103,[9]ag_lnd_prcp_mm!$A$2:$A$182, [9]ag_lnd_prcp_mm!$BL$2:$BL$182)</f>
        <v>#N/A</v>
      </c>
      <c r="M103" s="17" t="str">
        <f>_xlfn.XLOOKUP($A103,[10]co2_pcap_cons!$A$2:$A$193, [10]co2_pcap_cons!$HQ$2:$HQ$193)</f>
        <v>3.892</v>
      </c>
      <c r="N103" s="17" t="str">
        <f>_xlfn.XLOOKUP($A103,[11]primary_forest_area_ha!$A$2:$A$193, [11]primary_forest_area_ha!$AD$2:$AD$193)</f>
        <v>1500</v>
      </c>
      <c r="O103" s="17">
        <f>_xlfn.XLOOKUP($A103,[12]en_mam_thrd_no!$A$2:$A$195,[12]en_mam_thrd_no!$G$2:$G$195)</f>
        <v>0</v>
      </c>
      <c r="P103" s="17">
        <f>_xlfn.XLOOKUP($A103,[13]en_fsh_thrd_no!$A$2:$A$195,[13]en_fsh_thrd_no!$G$2:$G$195)</f>
        <v>0</v>
      </c>
      <c r="Q103" s="17" t="str">
        <f>_xlfn.XLOOKUP($A103,[14]en_bir_thrd_no!$A$2:$A$195,[14]en_bir_thrd_no!$G$2:$G$195)</f>
        <v>3</v>
      </c>
      <c r="R103" s="17" t="str">
        <f>_xlfn.XLOOKUP($A103,[15]en_hpt_thrd_no!$A$2:$A$195,[15]en_hpt_thrd_no!$G$2:$G$195)</f>
        <v>1</v>
      </c>
      <c r="S103" s="17" t="str">
        <f>_xlfn.XLOOKUP($A103,[16]er_lnd_ptld_zs!$A$2:$A$194, [16]er_lnd_ptld_zs!$O$2:$O$194)</f>
        <v>44.8</v>
      </c>
      <c r="T103" s="17" t="e">
        <f>_xlfn.XLOOKUP($A103,[17]er_mrn_ptmr_zs!$A$2:$A$155,[17]er_mrn_ptmr_zs!$O$2:$O$155)</f>
        <v>#N/A</v>
      </c>
    </row>
    <row r="104" spans="1:20" x14ac:dyDescent="0.2">
      <c r="A104" t="s">
        <v>306</v>
      </c>
      <c r="B104" t="s">
        <v>307</v>
      </c>
      <c r="C104" s="18" t="str">
        <f>_xlfn.XLOOKUP(A104,[1]Tabelle1!$A$2:$A$196,[1]Tabelle1!$C$2:$C$196)</f>
        <v>asia</v>
      </c>
      <c r="D104" t="s">
        <v>308</v>
      </c>
      <c r="E104" s="17" t="str">
        <f>_xlfn.XLOOKUP(A104,[2]lex!$A$2:$A$195, [2]lex!$HU$2:$HU$195)</f>
        <v>77.09</v>
      </c>
      <c r="F104" s="17" t="str">
        <f>_xlfn.XLOOKUP(A104,[3]gdp_pcap!$A$2:$A$194,[3]gdp_pcap!$HT$2:$HT$194 )</f>
        <v>14379.8147</v>
      </c>
      <c r="G104" s="17" t="str">
        <f>_xlfn.XLOOKUP($A104,[4]ag_lnd_totl_k2!$A$2:$A$195, [4]ag_lnd_totl_k2!$BM$2:$BM$195)</f>
        <v>61860</v>
      </c>
      <c r="H104" s="17" t="str">
        <f>_xlfn.XLOOKUP($A104,[5]industrial_water_withdrawal_per!$A$2:$A$179,[5]industrial_water_withdrawal_per!$BH$2:$BH$179 )</f>
        <v>6.419</v>
      </c>
      <c r="I104" s="17" t="str">
        <f>_xlfn.XLOOKUP($A104,[6]agricultural_water_withdrawal_p!$A$2:$A$180,[6]agricultural_water_withdrawal_p!$BH$2:$BH$180 )</f>
        <v>87.363</v>
      </c>
      <c r="J104" s="17" t="str">
        <f>_xlfn.XLOOKUP($A104,[7]total_water_withdrawal_billion_!$A$2:$A$180, [7]total_water_withdrawal_billion_!$BK$2:$BK$180  )</f>
        <v>12.946</v>
      </c>
      <c r="K104" s="17" t="str">
        <f>_xlfn.XLOOKUP($A104,[8]hydro_power_generation_total!$A$2:$A$119,[8]hydro_power_generation_total!$BA$2:$BA$119 )</f>
        <v>484400</v>
      </c>
      <c r="L104" s="17" t="str">
        <f>_xlfn.XLOOKUP($A104,[9]ag_lnd_prcp_mm!$A$2:$A$182, [9]ag_lnd_prcp_mm!$BL$2:$BL$182)</f>
        <v>1712</v>
      </c>
      <c r="M104" s="17" t="str">
        <f>_xlfn.XLOOKUP($A104,[10]co2_pcap_cons!$A$2:$A$193, [10]co2_pcap_cons!$HQ$2:$HQ$193)</f>
        <v>1.758</v>
      </c>
      <c r="N104" s="17" t="str">
        <f>_xlfn.XLOOKUP($A104,[11]primary_forest_area_ha!$A$2:$A$193, [11]primary_forest_area_ha!$AD$2:$AD$193)</f>
        <v>167000</v>
      </c>
      <c r="O104" s="17" t="str">
        <f>_xlfn.XLOOKUP($A104,[12]en_mam_thrd_no!$A$2:$A$195,[12]en_mam_thrd_no!$G$2:$G$195)</f>
        <v>30</v>
      </c>
      <c r="P104" s="17" t="str">
        <f>_xlfn.XLOOKUP($A104,[13]en_fsh_thrd_no!$A$2:$A$195,[13]en_fsh_thrd_no!$G$2:$G$195)</f>
        <v>135</v>
      </c>
      <c r="Q104" s="17" t="str">
        <f>_xlfn.XLOOKUP($A104,[14]en_bir_thrd_no!$A$2:$A$195,[14]en_bir_thrd_no!$G$2:$G$195)</f>
        <v>14</v>
      </c>
      <c r="R104" s="17" t="str">
        <f>_xlfn.XLOOKUP($A104,[15]en_hpt_thrd_no!$A$2:$A$195,[15]en_hpt_thrd_no!$G$2:$G$195)</f>
        <v>299</v>
      </c>
      <c r="S104" s="17" t="str">
        <f>_xlfn.XLOOKUP($A104,[16]er_lnd_ptld_zs!$A$2:$A$194, [16]er_lnd_ptld_zs!$O$2:$O$194)</f>
        <v>30.8</v>
      </c>
      <c r="T104" s="17" t="str">
        <f>_xlfn.XLOOKUP($A104,[17]er_mrn_ptmr_zs!$A$2:$A$155,[17]er_mrn_ptmr_zs!$O$2:$O$155)</f>
        <v>0.3</v>
      </c>
    </row>
    <row r="105" spans="1:20" x14ac:dyDescent="0.2">
      <c r="A105" t="s">
        <v>309</v>
      </c>
      <c r="B105" t="s">
        <v>310</v>
      </c>
      <c r="C105" s="18" t="str">
        <f>_xlfn.XLOOKUP(A105,[1]Tabelle1!$A$2:$A$196,[1]Tabelle1!$C$2:$C$196)</f>
        <v>africa</v>
      </c>
      <c r="D105" t="s">
        <v>311</v>
      </c>
      <c r="E105" s="17" t="str">
        <f>_xlfn.XLOOKUP(A105,[2]lex!$A$2:$A$195, [2]lex!$HU$2:$HU$195)</f>
        <v>59.11</v>
      </c>
      <c r="F105" s="17" t="str">
        <f>_xlfn.XLOOKUP(A105,[3]gdp_pcap!$A$2:$A$194,[3]gdp_pcap!$HT$2:$HT$194 )</f>
        <v>2716.15309</v>
      </c>
      <c r="G105" s="17" t="str">
        <f>_xlfn.XLOOKUP($A105,[4]ag_lnd_totl_k2!$A$2:$A$195, [4]ag_lnd_totl_k2!$BM$2:$BM$195)</f>
        <v>30360</v>
      </c>
      <c r="H105" s="17" t="str">
        <f>_xlfn.XLOOKUP($A105,[5]industrial_water_withdrawal_per!$A$2:$A$179,[5]industrial_water_withdrawal_per!$BH$2:$BH$179 )</f>
        <v>45.662</v>
      </c>
      <c r="I105" s="17" t="str">
        <f>_xlfn.XLOOKUP($A105,[6]agricultural_water_withdrawal_p!$A$2:$A$180,[6]agricultural_water_withdrawal_p!$BH$2:$BH$180 )</f>
        <v>8.6758</v>
      </c>
      <c r="J105" s="17" t="str">
        <f>_xlfn.XLOOKUP($A105,[7]total_water_withdrawal_billion_!$A$2:$A$180, [7]total_water_withdrawal_billion_!$BK$2:$BK$180  )</f>
        <v>0.0438</v>
      </c>
      <c r="K105" s="17" t="e">
        <f>_xlfn.XLOOKUP($A105,[8]hydro_power_generation_total!$A$2:$A$119,[8]hydro_power_generation_total!$BA$2:$BA$119 )</f>
        <v>#N/A</v>
      </c>
      <c r="L105" s="17" t="str">
        <f>_xlfn.XLOOKUP($A105,[9]ag_lnd_prcp_mm!$A$2:$A$182, [9]ag_lnd_prcp_mm!$BL$2:$BL$182)</f>
        <v>788</v>
      </c>
      <c r="M105" s="17" t="str">
        <f>_xlfn.XLOOKUP($A105,[10]co2_pcap_cons!$A$2:$A$193, [10]co2_pcap_cons!$HQ$2:$HQ$193)</f>
        <v>1.379</v>
      </c>
      <c r="N105" s="17">
        <f>_xlfn.XLOOKUP($A105,[11]primary_forest_area_ha!$A$2:$A$193, [11]primary_forest_area_ha!$AD$2:$AD$193)</f>
        <v>0</v>
      </c>
      <c r="O105" s="17" t="str">
        <f>_xlfn.XLOOKUP($A105,[12]en_mam_thrd_no!$A$2:$A$195,[12]en_mam_thrd_no!$G$2:$G$195)</f>
        <v>4</v>
      </c>
      <c r="P105" s="17" t="str">
        <f>_xlfn.XLOOKUP($A105,[13]en_fsh_thrd_no!$A$2:$A$195,[13]en_fsh_thrd_no!$G$2:$G$195)</f>
        <v>1</v>
      </c>
      <c r="Q105" s="17" t="str">
        <f>_xlfn.XLOOKUP($A105,[14]en_bir_thrd_no!$A$2:$A$195,[14]en_bir_thrd_no!$G$2:$G$195)</f>
        <v>9</v>
      </c>
      <c r="R105" s="17" t="str">
        <f>_xlfn.XLOOKUP($A105,[15]en_hpt_thrd_no!$A$2:$A$195,[15]en_hpt_thrd_no!$G$2:$G$195)</f>
        <v>5</v>
      </c>
      <c r="S105" s="17" t="str">
        <f>_xlfn.XLOOKUP($A105,[16]er_lnd_ptld_zs!$A$2:$A$194, [16]er_lnd_ptld_zs!$O$2:$O$194)</f>
        <v>23.4</v>
      </c>
      <c r="T105" s="17" t="e">
        <f>_xlfn.XLOOKUP($A105,[17]er_mrn_ptmr_zs!$A$2:$A$155,[17]er_mrn_ptmr_zs!$O$2:$O$155)</f>
        <v>#N/A</v>
      </c>
    </row>
    <row r="106" spans="1:20" x14ac:dyDescent="0.2">
      <c r="A106" t="s">
        <v>312</v>
      </c>
      <c r="B106" t="s">
        <v>313</v>
      </c>
      <c r="C106" s="18" t="str">
        <f>_xlfn.XLOOKUP(A106,[1]Tabelle1!$A$2:$A$196,[1]Tabelle1!$C$2:$C$196)</f>
        <v>europe</v>
      </c>
      <c r="D106" t="s">
        <v>314</v>
      </c>
      <c r="E106" s="17" t="str">
        <f>_xlfn.XLOOKUP(A106,[2]lex!$A$2:$A$195, [2]lex!$HU$2:$HU$195)</f>
        <v>77.1</v>
      </c>
      <c r="F106" s="17" t="str">
        <f>_xlfn.XLOOKUP(A106,[3]gdp_pcap!$A$2:$A$194,[3]gdp_pcap!$HT$2:$HT$194 )</f>
        <v>49761.39795</v>
      </c>
      <c r="G106" s="17" t="str">
        <f>_xlfn.XLOOKUP($A106,[4]ag_lnd_totl_k2!$A$2:$A$195, [4]ag_lnd_totl_k2!$BM$2:$BM$195)</f>
        <v>62600</v>
      </c>
      <c r="H106" s="17" t="str">
        <f>_xlfn.XLOOKUP($A106,[5]industrial_water_withdrawal_per!$A$2:$A$179,[5]industrial_water_withdrawal_per!$BH$2:$BH$179 )</f>
        <v>29.285</v>
      </c>
      <c r="I106" s="17" t="str">
        <f>_xlfn.XLOOKUP($A106,[6]agricultural_water_withdrawal_p!$A$2:$A$180,[6]agricultural_water_withdrawal_p!$BH$2:$BH$180 )</f>
        <v>19.557</v>
      </c>
      <c r="J106" s="17" t="str">
        <f>_xlfn.XLOOKUP($A106,[7]total_water_withdrawal_billion_!$A$2:$A$180, [7]total_water_withdrawal_billion_!$BK$2:$BK$180  )</f>
        <v>0.30036</v>
      </c>
      <c r="K106" s="17" t="str">
        <f>_xlfn.XLOOKUP($A106,[8]hydro_power_generation_total!$A$2:$A$119,[8]hydro_power_generation_total!$BA$2:$BA$119 )</f>
        <v>46430</v>
      </c>
      <c r="L106" s="17" t="str">
        <f>_xlfn.XLOOKUP($A106,[9]ag_lnd_prcp_mm!$A$2:$A$182, [9]ag_lnd_prcp_mm!$BL$2:$BL$182)</f>
        <v>656</v>
      </c>
      <c r="M106" s="17" t="str">
        <f>_xlfn.XLOOKUP($A106,[10]co2_pcap_cons!$A$2:$A$193, [10]co2_pcap_cons!$HQ$2:$HQ$193)</f>
        <v>7.212</v>
      </c>
      <c r="N106" s="17" t="str">
        <f>_xlfn.XLOOKUP($A106,[11]primary_forest_area_ha!$A$2:$A$193, [11]primary_forest_area_ha!$AD$2:$AD$193)</f>
        <v>26000</v>
      </c>
      <c r="O106" s="17" t="str">
        <f>_xlfn.XLOOKUP($A106,[12]en_mam_thrd_no!$A$2:$A$195,[12]en_mam_thrd_no!$G$2:$G$195)</f>
        <v>1</v>
      </c>
      <c r="P106" s="17" t="str">
        <f>_xlfn.XLOOKUP($A106,[13]en_fsh_thrd_no!$A$2:$A$195,[13]en_fsh_thrd_no!$G$2:$G$195)</f>
        <v>6</v>
      </c>
      <c r="Q106" s="17" t="str">
        <f>_xlfn.XLOOKUP($A106,[14]en_bir_thrd_no!$A$2:$A$195,[14]en_bir_thrd_no!$G$2:$G$195)</f>
        <v>11</v>
      </c>
      <c r="R106" s="17" t="str">
        <f>_xlfn.XLOOKUP($A106,[15]en_hpt_thrd_no!$A$2:$A$195,[15]en_hpt_thrd_no!$G$2:$G$195)</f>
        <v>2</v>
      </c>
      <c r="S106" s="17" t="str">
        <f>_xlfn.XLOOKUP($A106,[16]er_lnd_ptld_zs!$A$2:$A$194, [16]er_lnd_ptld_zs!$O$2:$O$194)</f>
        <v>18</v>
      </c>
      <c r="T106" s="17" t="str">
        <f>_xlfn.XLOOKUP($A106,[17]er_mrn_ptmr_zs!$A$2:$A$155,[17]er_mrn_ptmr_zs!$O$2:$O$155)</f>
        <v>23.2</v>
      </c>
    </row>
    <row r="107" spans="1:20" x14ac:dyDescent="0.2">
      <c r="A107" t="s">
        <v>315</v>
      </c>
      <c r="B107" t="s">
        <v>316</v>
      </c>
      <c r="C107" s="18" t="str">
        <f>_xlfn.XLOOKUP(A107,[1]Tabelle1!$A$2:$A$196,[1]Tabelle1!$C$2:$C$196)</f>
        <v>europe</v>
      </c>
      <c r="D107" t="s">
        <v>317</v>
      </c>
      <c r="E107" s="17" t="str">
        <f>_xlfn.XLOOKUP(A107,[2]lex!$A$2:$A$195, [2]lex!$HU$2:$HU$195)</f>
        <v>83.6</v>
      </c>
      <c r="F107" s="17" t="str">
        <f>_xlfn.XLOOKUP(A107,[3]gdp_pcap!$A$2:$A$194,[3]gdp_pcap!$HT$2:$HT$194 )</f>
        <v>131037.5237</v>
      </c>
      <c r="G107" s="17" t="str">
        <f>_xlfn.XLOOKUP($A107,[4]ag_lnd_totl_k2!$A$2:$A$195, [4]ag_lnd_totl_k2!$BM$2:$BM$195)</f>
        <v>2574.46</v>
      </c>
      <c r="H107" s="17" t="str">
        <f>_xlfn.XLOOKUP($A107,[5]industrial_water_withdrawal_per!$A$2:$A$179,[5]industrial_water_withdrawal_per!$BH$2:$BH$179 )</f>
        <v>3.8333</v>
      </c>
      <c r="I107" s="17" t="str">
        <f>_xlfn.XLOOKUP($A107,[6]agricultural_water_withdrawal_p!$A$2:$A$180,[6]agricultural_water_withdrawal_p!$BH$2:$BH$180 )</f>
        <v>1.0264</v>
      </c>
      <c r="J107" s="17" t="str">
        <f>_xlfn.XLOOKUP($A107,[7]total_water_withdrawal_billion_!$A$2:$A$180, [7]total_water_withdrawal_billion_!$BK$2:$BK$180  )</f>
        <v>0.04774</v>
      </c>
      <c r="K107" s="17" t="str">
        <f>_xlfn.XLOOKUP($A107,[8]hydro_power_generation_total!$A$2:$A$119,[8]hydro_power_generation_total!$BA$2:$BA$119 )</f>
        <v>9286</v>
      </c>
      <c r="L107" s="17" t="str">
        <f>_xlfn.XLOOKUP($A107,[9]ag_lnd_prcp_mm!$A$2:$A$182, [9]ag_lnd_prcp_mm!$BL$2:$BL$182)</f>
        <v>934</v>
      </c>
      <c r="M107" s="17" t="str">
        <f>_xlfn.XLOOKUP($A107,[10]co2_pcap_cons!$A$2:$A$193, [10]co2_pcap_cons!$HQ$2:$HQ$193)</f>
        <v>12.691</v>
      </c>
      <c r="N107" s="17">
        <f>_xlfn.XLOOKUP($A107,[11]primary_forest_area_ha!$A$2:$A$193, [11]primary_forest_area_ha!$AD$2:$AD$193)</f>
        <v>0</v>
      </c>
      <c r="O107" s="17">
        <f>_xlfn.XLOOKUP($A107,[12]en_mam_thrd_no!$A$2:$A$195,[12]en_mam_thrd_no!$G$2:$G$195)</f>
        <v>0</v>
      </c>
      <c r="P107" s="17" t="str">
        <f>_xlfn.XLOOKUP($A107,[13]en_fsh_thrd_no!$A$2:$A$195,[13]en_fsh_thrd_no!$G$2:$G$195)</f>
        <v>1</v>
      </c>
      <c r="Q107" s="17" t="str">
        <f>_xlfn.XLOOKUP($A107,[14]en_bir_thrd_no!$A$2:$A$195,[14]en_bir_thrd_no!$G$2:$G$195)</f>
        <v>3</v>
      </c>
      <c r="R107" s="17" t="str">
        <f>_xlfn.XLOOKUP($A107,[15]en_hpt_thrd_no!$A$2:$A$195,[15]en_hpt_thrd_no!$G$2:$G$195)</f>
        <v>3</v>
      </c>
      <c r="S107" s="17" t="str">
        <f>_xlfn.XLOOKUP($A107,[16]er_lnd_ptld_zs!$A$2:$A$194, [16]er_lnd_ptld_zs!$O$2:$O$194)</f>
        <v>39.1</v>
      </c>
      <c r="T107" s="17" t="e">
        <f>_xlfn.XLOOKUP($A107,[17]er_mrn_ptmr_zs!$A$2:$A$155,[17]er_mrn_ptmr_zs!$O$2:$O$155)</f>
        <v>#N/A</v>
      </c>
    </row>
    <row r="108" spans="1:20" x14ac:dyDescent="0.2">
      <c r="A108" t="s">
        <v>318</v>
      </c>
      <c r="B108" t="s">
        <v>319</v>
      </c>
      <c r="C108" s="18" t="str">
        <f>_xlfn.XLOOKUP(A108,[1]Tabelle1!$A$2:$A$196,[1]Tabelle1!$C$2:$C$196)</f>
        <v>europe</v>
      </c>
      <c r="D108" t="s">
        <v>320</v>
      </c>
      <c r="E108" s="17" t="str">
        <f>_xlfn.XLOOKUP(A108,[2]lex!$A$2:$A$195, [2]lex!$HU$2:$HU$195)</f>
        <v>76.2</v>
      </c>
      <c r="F108" s="17" t="str">
        <f>_xlfn.XLOOKUP(A108,[3]gdp_pcap!$A$2:$A$194,[3]gdp_pcap!$HT$2:$HT$194 )</f>
        <v>40852.07026</v>
      </c>
      <c r="G108" s="17" t="str">
        <f>_xlfn.XLOOKUP($A108,[4]ag_lnd_totl_k2!$A$2:$A$195, [4]ag_lnd_totl_k2!$BM$2:$BM$195)</f>
        <v>62230</v>
      </c>
      <c r="H108" s="17" t="str">
        <f>_xlfn.XLOOKUP($A108,[5]industrial_water_withdrawal_per!$A$2:$A$179,[5]industrial_water_withdrawal_per!$BH$2:$BH$179 )</f>
        <v>17.577</v>
      </c>
      <c r="I108" s="17" t="str">
        <f>_xlfn.XLOOKUP($A108,[6]agricultural_water_withdrawal_p!$A$2:$A$180,[6]agricultural_water_withdrawal_p!$BH$2:$BH$180 )</f>
        <v>29.07</v>
      </c>
      <c r="J108" s="17" t="str">
        <f>_xlfn.XLOOKUP($A108,[7]total_water_withdrawal_billion_!$A$2:$A$180, [7]total_water_withdrawal_billion_!$BK$2:$BK$180  )</f>
        <v>0.17233</v>
      </c>
      <c r="K108" s="17" t="str">
        <f>_xlfn.XLOOKUP($A108,[8]hydro_power_generation_total!$A$2:$A$119,[8]hydro_power_generation_total!$BA$2:$BA$119 )</f>
        <v>302700</v>
      </c>
      <c r="L108" s="17" t="str">
        <f>_xlfn.XLOOKUP($A108,[9]ag_lnd_prcp_mm!$A$2:$A$182, [9]ag_lnd_prcp_mm!$BL$2:$BL$182)</f>
        <v>667</v>
      </c>
      <c r="M108" s="17" t="str">
        <f>_xlfn.XLOOKUP($A108,[10]co2_pcap_cons!$A$2:$A$193, [10]co2_pcap_cons!$HQ$2:$HQ$193)</f>
        <v>7.571</v>
      </c>
      <c r="N108" s="17" t="str">
        <f>_xlfn.XLOOKUP($A108,[11]primary_forest_area_ha!$A$2:$A$193, [11]primary_forest_area_ha!$AD$2:$AD$193)</f>
        <v>16000</v>
      </c>
      <c r="O108" s="17" t="str">
        <f>_xlfn.XLOOKUP($A108,[12]en_mam_thrd_no!$A$2:$A$195,[12]en_mam_thrd_no!$G$2:$G$195)</f>
        <v>1</v>
      </c>
      <c r="P108" s="17" t="str">
        <f>_xlfn.XLOOKUP($A108,[13]en_fsh_thrd_no!$A$2:$A$195,[13]en_fsh_thrd_no!$G$2:$G$195)</f>
        <v>6</v>
      </c>
      <c r="Q108" s="17" t="str">
        <f>_xlfn.XLOOKUP($A108,[14]en_bir_thrd_no!$A$2:$A$195,[14]en_bir_thrd_no!$G$2:$G$195)</f>
        <v>13</v>
      </c>
      <c r="R108" s="17" t="str">
        <f>_xlfn.XLOOKUP($A108,[15]en_hpt_thrd_no!$A$2:$A$195,[15]en_hpt_thrd_no!$G$2:$G$195)</f>
        <v>1</v>
      </c>
      <c r="S108" s="17" t="str">
        <f>_xlfn.XLOOKUP($A108,[16]er_lnd_ptld_zs!$A$2:$A$194, [16]er_lnd_ptld_zs!$O$2:$O$194)</f>
        <v>18.8</v>
      </c>
      <c r="T108" s="17" t="str">
        <f>_xlfn.XLOOKUP($A108,[17]er_mrn_ptmr_zs!$A$2:$A$155,[17]er_mrn_ptmr_zs!$O$2:$O$155)</f>
        <v>16.4</v>
      </c>
    </row>
    <row r="109" spans="1:20" x14ac:dyDescent="0.2">
      <c r="A109" t="s">
        <v>321</v>
      </c>
      <c r="B109" t="s">
        <v>322</v>
      </c>
      <c r="C109" s="18" t="str">
        <f>_xlfn.XLOOKUP(A109,[1]Tabelle1!$A$2:$A$196,[1]Tabelle1!$C$2:$C$196)</f>
        <v>africa</v>
      </c>
      <c r="D109" t="s">
        <v>323</v>
      </c>
      <c r="E109" s="17" t="str">
        <f>_xlfn.XLOOKUP(A109,[2]lex!$A$2:$A$195, [2]lex!$HU$2:$HU$195)</f>
        <v>73.58</v>
      </c>
      <c r="F109" s="17" t="str">
        <f>_xlfn.XLOOKUP(A109,[3]gdp_pcap!$A$2:$A$194,[3]gdp_pcap!$HT$2:$HT$194 )</f>
        <v>9582.50716</v>
      </c>
      <c r="G109" s="17" t="str">
        <f>_xlfn.XLOOKUP($A109,[4]ag_lnd_totl_k2!$A$2:$A$195, [4]ag_lnd_totl_k2!$BM$2:$BM$195)</f>
        <v>446300</v>
      </c>
      <c r="H109" s="17" t="str">
        <f>_xlfn.XLOOKUP($A109,[5]industrial_water_withdrawal_per!$A$2:$A$179,[5]industrial_water_withdrawal_per!$BH$2:$BH$179 )</f>
        <v>2.0324</v>
      </c>
      <c r="I109" s="17" t="str">
        <f>_xlfn.XLOOKUP($A109,[6]agricultural_water_withdrawal_p!$A$2:$A$180,[6]agricultural_water_withdrawal_p!$BH$2:$BH$180 )</f>
        <v>87.777</v>
      </c>
      <c r="J109" s="17" t="str">
        <f>_xlfn.XLOOKUP($A109,[7]total_water_withdrawal_billion_!$A$2:$A$180, [7]total_water_withdrawal_billion_!$BK$2:$BK$180  )</f>
        <v>10.431</v>
      </c>
      <c r="K109" s="17" t="str">
        <f>_xlfn.XLOOKUP($A109,[8]hydro_power_generation_total!$A$2:$A$119,[8]hydro_power_generation_total!$BA$2:$BA$119 )</f>
        <v>298200</v>
      </c>
      <c r="L109" s="17" t="str">
        <f>_xlfn.XLOOKUP($A109,[9]ag_lnd_prcp_mm!$A$2:$A$182, [9]ag_lnd_prcp_mm!$BL$2:$BL$182)</f>
        <v>346</v>
      </c>
      <c r="M109" s="17" t="str">
        <f>_xlfn.XLOOKUP($A109,[10]co2_pcap_cons!$A$2:$A$193, [10]co2_pcap_cons!$HQ$2:$HQ$193)</f>
        <v>2.001</v>
      </c>
      <c r="N109" s="17">
        <f>_xlfn.XLOOKUP($A109,[11]primary_forest_area_ha!$A$2:$A$193, [11]primary_forest_area_ha!$AD$2:$AD$193)</f>
        <v>0</v>
      </c>
      <c r="O109" s="17" t="str">
        <f>_xlfn.XLOOKUP($A109,[12]en_mam_thrd_no!$A$2:$A$195,[12]en_mam_thrd_no!$G$2:$G$195)</f>
        <v>19</v>
      </c>
      <c r="P109" s="17" t="str">
        <f>_xlfn.XLOOKUP($A109,[13]en_fsh_thrd_no!$A$2:$A$195,[13]en_fsh_thrd_no!$G$2:$G$195)</f>
        <v>85</v>
      </c>
      <c r="Q109" s="17" t="str">
        <f>_xlfn.XLOOKUP($A109,[14]en_bir_thrd_no!$A$2:$A$195,[14]en_bir_thrd_no!$G$2:$G$195)</f>
        <v>22</v>
      </c>
      <c r="R109" s="17" t="str">
        <f>_xlfn.XLOOKUP($A109,[15]en_hpt_thrd_no!$A$2:$A$195,[15]en_hpt_thrd_no!$G$2:$G$195)</f>
        <v>57</v>
      </c>
      <c r="S109" s="17" t="str">
        <f>_xlfn.XLOOKUP($A109,[16]er_lnd_ptld_zs!$A$2:$A$194, [16]er_lnd_ptld_zs!$O$2:$O$194)</f>
        <v>2.1</v>
      </c>
      <c r="T109" s="17" t="str">
        <f>_xlfn.XLOOKUP($A109,[17]er_mrn_ptmr_zs!$A$2:$A$155,[17]er_mrn_ptmr_zs!$O$2:$O$155)</f>
        <v>0.3</v>
      </c>
    </row>
    <row r="110" spans="1:20" x14ac:dyDescent="0.2">
      <c r="A110" t="s">
        <v>324</v>
      </c>
      <c r="B110" t="s">
        <v>325</v>
      </c>
      <c r="C110" s="18" t="str">
        <f>_xlfn.XLOOKUP(A110,[1]Tabelle1!$A$2:$A$196,[1]Tabelle1!$C$2:$C$196)</f>
        <v>europe</v>
      </c>
      <c r="D110" t="s">
        <v>326</v>
      </c>
      <c r="E110" s="17" t="str">
        <f>_xlfn.XLOOKUP(A110,[2]lex!$A$2:$A$195, [2]lex!$HU$2:$HU$195)</f>
        <v>80.68</v>
      </c>
      <c r="F110" s="17" t="str">
        <f>_xlfn.XLOOKUP(A110,[3]gdp_pcap!$A$2:$A$194,[3]gdp_pcap!$HT$2:$HT$194 )</f>
        <v>475911.3352</v>
      </c>
      <c r="G110" s="17" t="str">
        <f>_xlfn.XLOOKUP($A110,[4]ag_lnd_totl_k2!$A$2:$A$195, [4]ag_lnd_totl_k2!$BM$2:$BM$195)</f>
        <v>2.084</v>
      </c>
      <c r="H110" s="17">
        <f>_xlfn.XLOOKUP($A110,[5]industrial_water_withdrawal_per!$A$2:$A$179,[5]industrial_water_withdrawal_per!$BH$2:$BH$179 )</f>
        <v>0</v>
      </c>
      <c r="I110" s="17" t="e">
        <f>_xlfn.XLOOKUP($A110,[6]agricultural_water_withdrawal_p!$A$2:$A$180,[6]agricultural_water_withdrawal_p!$BH$2:$BH$180 )</f>
        <v>#REF!</v>
      </c>
      <c r="J110" s="17" t="str">
        <f>_xlfn.XLOOKUP($A110,[7]total_water_withdrawal_billion_!$A$2:$A$180, [7]total_water_withdrawal_billion_!$BK$2:$BK$180  )</f>
        <v>0.005</v>
      </c>
      <c r="K110" s="17" t="e">
        <f>_xlfn.XLOOKUP($A110,[8]hydro_power_generation_total!$A$2:$A$119,[8]hydro_power_generation_total!$BA$2:$BA$119 )</f>
        <v>#N/A</v>
      </c>
      <c r="L110" s="17" t="e">
        <f>_xlfn.XLOOKUP($A110,[9]ag_lnd_prcp_mm!$A$2:$A$182, [9]ag_lnd_prcp_mm!$BL$2:$BL$182)</f>
        <v>#N/A</v>
      </c>
      <c r="M110" s="17" t="e">
        <f>_xlfn.XLOOKUP($A110,[10]co2_pcap_cons!$A$2:$A$193, [10]co2_pcap_cons!$HQ$2:$HQ$193)</f>
        <v>#N/A</v>
      </c>
      <c r="N110" s="17" t="e">
        <f>_xlfn.XLOOKUP($A110,[11]primary_forest_area_ha!$A$2:$A$193, [11]primary_forest_area_ha!$AD$2:$AD$193)</f>
        <v>#N/A</v>
      </c>
      <c r="O110" s="17" t="str">
        <f>_xlfn.XLOOKUP($A110,[12]en_mam_thrd_no!$A$2:$A$195,[12]en_mam_thrd_no!$G$2:$G$195)</f>
        <v>4</v>
      </c>
      <c r="P110" s="17" t="str">
        <f>_xlfn.XLOOKUP($A110,[13]en_fsh_thrd_no!$A$2:$A$195,[13]en_fsh_thrd_no!$G$2:$G$195)</f>
        <v>37</v>
      </c>
      <c r="Q110" s="17">
        <f>_xlfn.XLOOKUP($A110,[14]en_bir_thrd_no!$A$2:$A$195,[14]en_bir_thrd_no!$G$2:$G$195)</f>
        <v>0</v>
      </c>
      <c r="R110" s="17" t="str">
        <f>_xlfn.XLOOKUP($A110,[15]en_hpt_thrd_no!$A$2:$A$195,[15]en_hpt_thrd_no!$G$2:$G$195)</f>
        <v>2</v>
      </c>
      <c r="S110" s="17" t="str">
        <f>_xlfn.XLOOKUP($A110,[16]er_lnd_ptld_zs!$A$2:$A$194, [16]er_lnd_ptld_zs!$O$2:$O$194)</f>
        <v>20.9</v>
      </c>
      <c r="T110" s="17" t="str">
        <f>_xlfn.XLOOKUP($A110,[17]er_mrn_ptmr_zs!$A$2:$A$155,[17]er_mrn_ptmr_zs!$O$2:$O$155)</f>
        <v>100</v>
      </c>
    </row>
    <row r="111" spans="1:20" x14ac:dyDescent="0.2">
      <c r="A111" t="s">
        <v>327</v>
      </c>
      <c r="B111" t="s">
        <v>328</v>
      </c>
      <c r="C111" s="18" t="str">
        <f>_xlfn.XLOOKUP(A111,[1]Tabelle1!$A$2:$A$196,[1]Tabelle1!$C$2:$C$196)</f>
        <v>europe</v>
      </c>
      <c r="D111" t="s">
        <v>329</v>
      </c>
      <c r="E111" s="17" t="str">
        <f>_xlfn.XLOOKUP(A111,[2]lex!$A$2:$A$195, [2]lex!$HU$2:$HU$195)</f>
        <v>76.43</v>
      </c>
      <c r="F111" s="17" t="str">
        <f>_xlfn.XLOOKUP(A111,[3]gdp_pcap!$A$2:$A$194,[3]gdp_pcap!$HT$2:$HT$194 )</f>
        <v>17488.86301</v>
      </c>
      <c r="G111" s="17" t="str">
        <f>_xlfn.XLOOKUP($A111,[4]ag_lnd_totl_k2!$A$2:$A$195, [4]ag_lnd_totl_k2!$BM$2:$BM$195)</f>
        <v>32930</v>
      </c>
      <c r="H111" s="17" t="str">
        <f>_xlfn.XLOOKUP($A111,[5]industrial_water_withdrawal_per!$A$2:$A$179,[5]industrial_water_withdrawal_per!$BH$2:$BH$179 )</f>
        <v>73.058</v>
      </c>
      <c r="I111" s="17" t="str">
        <f>_xlfn.XLOOKUP($A111,[6]agricultural_water_withdrawal_p!$A$2:$A$180,[6]agricultural_water_withdrawal_p!$BH$2:$BH$180 )</f>
        <v>6.8922</v>
      </c>
      <c r="J111" s="17" t="str">
        <f>_xlfn.XLOOKUP($A111,[7]total_water_withdrawal_billion_!$A$2:$A$180, [7]total_water_withdrawal_billion_!$BK$2:$BK$180  )</f>
        <v>0.798</v>
      </c>
      <c r="K111" s="17" t="str">
        <f>_xlfn.XLOOKUP($A111,[8]hydro_power_generation_total!$A$2:$A$119,[8]hydro_power_generation_total!$BA$2:$BA$119 )</f>
        <v>6793</v>
      </c>
      <c r="L111" s="17" t="str">
        <f>_xlfn.XLOOKUP($A111,[9]ag_lnd_prcp_mm!$A$2:$A$182, [9]ag_lnd_prcp_mm!$BL$2:$BL$182)</f>
        <v>450</v>
      </c>
      <c r="M111" s="17" t="str">
        <f>_xlfn.XLOOKUP($A111,[10]co2_pcap_cons!$A$2:$A$193, [10]co2_pcap_cons!$HQ$2:$HQ$193)</f>
        <v>1.252</v>
      </c>
      <c r="N111" s="17">
        <f>_xlfn.XLOOKUP($A111,[11]primary_forest_area_ha!$A$2:$A$193, [11]primary_forest_area_ha!$AD$2:$AD$193)</f>
        <v>0</v>
      </c>
      <c r="O111" s="17" t="str">
        <f>_xlfn.XLOOKUP($A111,[12]en_mam_thrd_no!$A$2:$A$195,[12]en_mam_thrd_no!$G$2:$G$195)</f>
        <v>6</v>
      </c>
      <c r="P111" s="17" t="str">
        <f>_xlfn.XLOOKUP($A111,[13]en_fsh_thrd_no!$A$2:$A$195,[13]en_fsh_thrd_no!$G$2:$G$195)</f>
        <v>8</v>
      </c>
      <c r="Q111" s="17" t="str">
        <f>_xlfn.XLOOKUP($A111,[14]en_bir_thrd_no!$A$2:$A$195,[14]en_bir_thrd_no!$G$2:$G$195)</f>
        <v>12</v>
      </c>
      <c r="R111" s="17" t="str">
        <f>_xlfn.XLOOKUP($A111,[15]en_hpt_thrd_no!$A$2:$A$195,[15]en_hpt_thrd_no!$G$2:$G$195)</f>
        <v>2</v>
      </c>
      <c r="S111" s="17" t="str">
        <f>_xlfn.XLOOKUP($A111,[16]er_lnd_ptld_zs!$A$2:$A$194, [16]er_lnd_ptld_zs!$O$2:$O$194)</f>
        <v>11.5</v>
      </c>
      <c r="T111" s="17" t="e">
        <f>_xlfn.XLOOKUP($A111,[17]er_mrn_ptmr_zs!$A$2:$A$155,[17]er_mrn_ptmr_zs!$O$2:$O$155)</f>
        <v>#N/A</v>
      </c>
    </row>
    <row r="112" spans="1:20" x14ac:dyDescent="0.2">
      <c r="A112" t="s">
        <v>330</v>
      </c>
      <c r="B112" t="s">
        <v>331</v>
      </c>
      <c r="C112" s="18" t="str">
        <f>_xlfn.XLOOKUP(A112,[1]Tabelle1!$A$2:$A$196,[1]Tabelle1!$C$2:$C$196)</f>
        <v>africa</v>
      </c>
      <c r="D112" t="s">
        <v>332</v>
      </c>
      <c r="E112" s="17" t="str">
        <f>_xlfn.XLOOKUP(A112,[2]lex!$A$2:$A$195, [2]lex!$HU$2:$HU$195)</f>
        <v>63.19</v>
      </c>
      <c r="F112" s="17" t="str">
        <f>_xlfn.XLOOKUP(A112,[3]gdp_pcap!$A$2:$A$194,[3]gdp_pcap!$HT$2:$HT$194 )</f>
        <v>1720.26523</v>
      </c>
      <c r="G112" s="17" t="str">
        <f>_xlfn.XLOOKUP($A112,[4]ag_lnd_totl_k2!$A$2:$A$195, [4]ag_lnd_totl_k2!$BM$2:$BM$195)</f>
        <v>581800</v>
      </c>
      <c r="H112" s="17" t="str">
        <f>_xlfn.XLOOKUP($A112,[5]industrial_water_withdrawal_per!$A$2:$A$179,[5]industrial_water_withdrawal_per!$BH$2:$BH$179 )</f>
        <v>1.1942</v>
      </c>
      <c r="I112" s="17" t="str">
        <f>_xlfn.XLOOKUP($A112,[6]agricultural_water_withdrawal_p!$A$2:$A$180,[6]agricultural_water_withdrawal_p!$BH$2:$BH$180 )</f>
        <v>95.892</v>
      </c>
      <c r="J112" s="17" t="str">
        <f>_xlfn.XLOOKUP($A112,[7]total_water_withdrawal_billion_!$A$2:$A$180, [7]total_water_withdrawal_billion_!$BK$2:$BK$180  )</f>
        <v>13.557</v>
      </c>
      <c r="K112" s="17" t="e">
        <f>_xlfn.XLOOKUP($A112,[8]hydro_power_generation_total!$A$2:$A$119,[8]hydro_power_generation_total!$BA$2:$BA$119 )</f>
        <v>#N/A</v>
      </c>
      <c r="L112" s="17" t="str">
        <f>_xlfn.XLOOKUP($A112,[9]ag_lnd_prcp_mm!$A$2:$A$182, [9]ag_lnd_prcp_mm!$BL$2:$BL$182)</f>
        <v>1513</v>
      </c>
      <c r="M112" s="17" t="str">
        <f>_xlfn.XLOOKUP($A112,[10]co2_pcap_cons!$A$2:$A$193, [10]co2_pcap_cons!$HQ$2:$HQ$193)</f>
        <v>0.209</v>
      </c>
      <c r="N112" s="17" t="str">
        <f>_xlfn.XLOOKUP($A112,[11]primary_forest_area_ha!$A$2:$A$193, [11]primary_forest_area_ha!$AD$2:$AD$193)</f>
        <v>2993000</v>
      </c>
      <c r="O112" s="17" t="str">
        <f>_xlfn.XLOOKUP($A112,[12]en_mam_thrd_no!$A$2:$A$195,[12]en_mam_thrd_no!$G$2:$G$195)</f>
        <v>133</v>
      </c>
      <c r="P112" s="17" t="str">
        <f>_xlfn.XLOOKUP($A112,[13]en_fsh_thrd_no!$A$2:$A$195,[13]en_fsh_thrd_no!$G$2:$G$195)</f>
        <v>127</v>
      </c>
      <c r="Q112" s="17" t="str">
        <f>_xlfn.XLOOKUP($A112,[14]en_bir_thrd_no!$A$2:$A$195,[14]en_bir_thrd_no!$G$2:$G$195)</f>
        <v>37</v>
      </c>
      <c r="R112" s="17" t="str">
        <f>_xlfn.XLOOKUP($A112,[15]en_hpt_thrd_no!$A$2:$A$195,[15]en_hpt_thrd_no!$G$2:$G$195)</f>
        <v>2894</v>
      </c>
      <c r="S112" s="17" t="str">
        <f>_xlfn.XLOOKUP($A112,[16]er_lnd_ptld_zs!$A$2:$A$194, [16]er_lnd_ptld_zs!$O$2:$O$194)</f>
        <v>12.8</v>
      </c>
      <c r="T112" s="17" t="str">
        <f>_xlfn.XLOOKUP($A112,[17]er_mrn_ptmr_zs!$A$2:$A$155,[17]er_mrn_ptmr_zs!$O$2:$O$155)</f>
        <v>1.4</v>
      </c>
    </row>
    <row r="113" spans="1:20" x14ac:dyDescent="0.2">
      <c r="A113" t="s">
        <v>333</v>
      </c>
      <c r="B113" t="s">
        <v>334</v>
      </c>
      <c r="C113" s="18" t="str">
        <f>_xlfn.XLOOKUP(A113,[1]Tabelle1!$A$2:$A$196,[1]Tabelle1!$C$2:$C$196)</f>
        <v>asia</v>
      </c>
      <c r="D113" t="s">
        <v>335</v>
      </c>
      <c r="E113" s="17" t="str">
        <f>_xlfn.XLOOKUP(A113,[2]lex!$A$2:$A$195, [2]lex!$HU$2:$HU$195)</f>
        <v>76.76</v>
      </c>
      <c r="F113" s="17" t="str">
        <f>_xlfn.XLOOKUP(A113,[3]gdp_pcap!$A$2:$A$194,[3]gdp_pcap!$HT$2:$HT$194 )</f>
        <v>24629.31592</v>
      </c>
      <c r="G113" s="17" t="str">
        <f>_xlfn.XLOOKUP($A113,[4]ag_lnd_totl_k2!$A$2:$A$195, [4]ag_lnd_totl_k2!$BM$2:$BM$195)</f>
        <v>298</v>
      </c>
      <c r="H113" s="17" t="str">
        <f>_xlfn.XLOOKUP($A113,[5]industrial_water_withdrawal_per!$A$2:$A$179,[5]industrial_water_withdrawal_per!$BH$2:$BH$179 )</f>
        <v>5.0847</v>
      </c>
      <c r="I113" s="17" t="str">
        <f>_xlfn.XLOOKUP($A113,[6]agricultural_water_withdrawal_p!$A$2:$A$180,[6]agricultural_water_withdrawal_p!$BH$2:$BH$180 )</f>
        <v>4.5457</v>
      </c>
      <c r="J113" s="17" t="str">
        <f>_xlfn.XLOOKUP($A113,[7]total_water_withdrawal_billion_!$A$2:$A$180, [7]total_water_withdrawal_billion_!$BK$2:$BK$180  )</f>
        <v>0.0059</v>
      </c>
      <c r="K113" s="17" t="e">
        <f>_xlfn.XLOOKUP($A113,[8]hydro_power_generation_total!$A$2:$A$119,[8]hydro_power_generation_total!$BA$2:$BA$119 )</f>
        <v>#N/A</v>
      </c>
      <c r="L113" s="17" t="str">
        <f>_xlfn.XLOOKUP($A113,[9]ag_lnd_prcp_mm!$A$2:$A$182, [9]ag_lnd_prcp_mm!$BL$2:$BL$182)</f>
        <v>1972</v>
      </c>
      <c r="M113" s="17" t="str">
        <f>_xlfn.XLOOKUP($A113,[10]co2_pcap_cons!$A$2:$A$193, [10]co2_pcap_cons!$HQ$2:$HQ$193)</f>
        <v>3.307</v>
      </c>
      <c r="N113" s="17">
        <f>_xlfn.XLOOKUP($A113,[11]primary_forest_area_ha!$A$2:$A$193, [11]primary_forest_area_ha!$AD$2:$AD$193)</f>
        <v>0</v>
      </c>
      <c r="O113" s="17" t="str">
        <f>_xlfn.XLOOKUP($A113,[12]en_mam_thrd_no!$A$2:$A$195,[12]en_mam_thrd_no!$G$2:$G$195)</f>
        <v>2</v>
      </c>
      <c r="P113" s="17" t="str">
        <f>_xlfn.XLOOKUP($A113,[13]en_fsh_thrd_no!$A$2:$A$195,[13]en_fsh_thrd_no!$G$2:$G$195)</f>
        <v>41</v>
      </c>
      <c r="Q113" s="17">
        <f>_xlfn.XLOOKUP($A113,[14]en_bir_thrd_no!$A$2:$A$195,[14]en_bir_thrd_no!$G$2:$G$195)</f>
        <v>0</v>
      </c>
      <c r="R113" s="17">
        <f>_xlfn.XLOOKUP($A113,[15]en_hpt_thrd_no!$A$2:$A$195,[15]en_hpt_thrd_no!$G$2:$G$195)</f>
        <v>0</v>
      </c>
      <c r="S113" s="17" t="str">
        <f>_xlfn.XLOOKUP($A113,[16]er_lnd_ptld_zs!$A$2:$A$194, [16]er_lnd_ptld_zs!$O$2:$O$194)</f>
        <v>3</v>
      </c>
      <c r="T113" s="17" t="str">
        <f>_xlfn.XLOOKUP($A113,[17]er_mrn_ptmr_zs!$A$2:$A$155,[17]er_mrn_ptmr_zs!$O$2:$O$155)</f>
        <v>0.1</v>
      </c>
    </row>
    <row r="114" spans="1:20" x14ac:dyDescent="0.2">
      <c r="A114" t="s">
        <v>336</v>
      </c>
      <c r="B114" t="s">
        <v>337</v>
      </c>
      <c r="C114" s="18" t="str">
        <f>_xlfn.XLOOKUP(A114,[1]Tabelle1!$A$2:$A$196,[1]Tabelle1!$C$2:$C$196)</f>
        <v>americas</v>
      </c>
      <c r="D114" t="s">
        <v>338</v>
      </c>
      <c r="E114" s="17" t="str">
        <f>_xlfn.XLOOKUP(A114,[2]lex!$A$2:$A$195, [2]lex!$HU$2:$HU$195)</f>
        <v>76.81</v>
      </c>
      <c r="F114" s="17" t="str">
        <f>_xlfn.XLOOKUP(A114,[3]gdp_pcap!$A$2:$A$194,[3]gdp_pcap!$HT$2:$HT$194 )</f>
        <v>22374.76858</v>
      </c>
      <c r="G114" s="17" t="str">
        <f>_xlfn.XLOOKUP($A114,[4]ag_lnd_totl_k2!$A$2:$A$195, [4]ag_lnd_totl_k2!$BM$2:$BM$195)</f>
        <v>1943950</v>
      </c>
      <c r="H114" s="17" t="str">
        <f>_xlfn.XLOOKUP($A114,[5]industrial_water_withdrawal_per!$A$2:$A$179,[5]industrial_water_withdrawal_per!$BH$2:$BH$179 )</f>
        <v>8.8558</v>
      </c>
      <c r="I114" s="17" t="str">
        <f>_xlfn.XLOOKUP($A114,[6]agricultural_water_withdrawal_p!$A$2:$A$180,[6]agricultural_water_withdrawal_p!$BH$2:$BH$180 )</f>
        <v>76.301</v>
      </c>
      <c r="J114" s="17" t="str">
        <f>_xlfn.XLOOKUP($A114,[7]total_water_withdrawal_billion_!$A$2:$A$180, [7]total_water_withdrawal_billion_!$BK$2:$BK$180  )</f>
        <v>89.806</v>
      </c>
      <c r="K114" s="17" t="str">
        <f>_xlfn.XLOOKUP($A114,[8]hydro_power_generation_total!$A$2:$A$119,[8]hydro_power_generation_total!$BA$2:$BA$119 )</f>
        <v>3192000</v>
      </c>
      <c r="L114" s="17" t="str">
        <f>_xlfn.XLOOKUP($A114,[9]ag_lnd_prcp_mm!$A$2:$A$182, [9]ag_lnd_prcp_mm!$BL$2:$BL$182)</f>
        <v>758</v>
      </c>
      <c r="M114" s="17" t="str">
        <f>_xlfn.XLOOKUP($A114,[10]co2_pcap_cons!$A$2:$A$193, [10]co2_pcap_cons!$HQ$2:$HQ$193)</f>
        <v>3.642</v>
      </c>
      <c r="N114" s="17" t="str">
        <f>_xlfn.XLOOKUP($A114,[11]primary_forest_area_ha!$A$2:$A$193, [11]primary_forest_area_ha!$AD$2:$AD$193)</f>
        <v>33056000</v>
      </c>
      <c r="O114" s="17" t="str">
        <f>_xlfn.XLOOKUP($A114,[12]en_mam_thrd_no!$A$2:$A$195,[12]en_mam_thrd_no!$G$2:$G$195)</f>
        <v>97</v>
      </c>
      <c r="P114" s="17" t="str">
        <f>_xlfn.XLOOKUP($A114,[13]en_fsh_thrd_no!$A$2:$A$195,[13]en_fsh_thrd_no!$G$2:$G$195)</f>
        <v>308</v>
      </c>
      <c r="Q114" s="17" t="str">
        <f>_xlfn.XLOOKUP($A114,[14]en_bir_thrd_no!$A$2:$A$195,[14]en_bir_thrd_no!$G$2:$G$195)</f>
        <v>68</v>
      </c>
      <c r="R114" s="17" t="str">
        <f>_xlfn.XLOOKUP($A114,[15]en_hpt_thrd_no!$A$2:$A$195,[15]en_hpt_thrd_no!$G$2:$G$195)</f>
        <v>1426</v>
      </c>
      <c r="S114" s="17" t="str">
        <f>_xlfn.XLOOKUP($A114,[16]er_lnd_ptld_zs!$A$2:$A$194, [16]er_lnd_ptld_zs!$O$2:$O$194)</f>
        <v>15.3</v>
      </c>
      <c r="T114" s="17" t="str">
        <f>_xlfn.XLOOKUP($A114,[17]er_mrn_ptmr_zs!$A$2:$A$155,[17]er_mrn_ptmr_zs!$O$2:$O$155)</f>
        <v>22.6</v>
      </c>
    </row>
    <row r="115" spans="1:20" x14ac:dyDescent="0.2">
      <c r="A115" t="s">
        <v>339</v>
      </c>
      <c r="B115" t="s">
        <v>340</v>
      </c>
      <c r="C115" s="18" t="str">
        <f>_xlfn.XLOOKUP(A115,[1]Tabelle1!$A$2:$A$196,[1]Tabelle1!$C$2:$C$196)</f>
        <v>asia</v>
      </c>
      <c r="D115" t="s">
        <v>341</v>
      </c>
      <c r="E115" s="17" t="str">
        <f>_xlfn.XLOOKUP(A115,[2]lex!$A$2:$A$195, [2]lex!$HU$2:$HU$195)</f>
        <v>64.48</v>
      </c>
      <c r="F115" s="17" t="str">
        <f>_xlfn.XLOOKUP(A115,[3]gdp_pcap!$A$2:$A$194,[3]gdp_pcap!$HT$2:$HT$194 )</f>
        <v>7990.57932</v>
      </c>
      <c r="G115" s="17" t="str">
        <f>_xlfn.XLOOKUP($A115,[4]ag_lnd_totl_k2!$A$2:$A$195, [4]ag_lnd_totl_k2!$BM$2:$BM$195)</f>
        <v>180</v>
      </c>
      <c r="H115" s="17" t="e">
        <f>_xlfn.XLOOKUP($A115,[5]industrial_water_withdrawal_per!$A$2:$A$179,[5]industrial_water_withdrawal_per!$BH$2:$BH$179 )</f>
        <v>#N/A</v>
      </c>
      <c r="I115" s="17" t="e">
        <f>_xlfn.XLOOKUP($A115,[6]agricultural_water_withdrawal_p!$A$2:$A$180,[6]agricultural_water_withdrawal_p!$BH$2:$BH$180 )</f>
        <v>#N/A</v>
      </c>
      <c r="J115" s="17" t="e">
        <f>_xlfn.XLOOKUP($A115,[7]total_water_withdrawal_billion_!$A$2:$A$180, [7]total_water_withdrawal_billion_!$BK$2:$BK$180  )</f>
        <v>#N/A</v>
      </c>
      <c r="K115" s="17" t="e">
        <f>_xlfn.XLOOKUP($A115,[8]hydro_power_generation_total!$A$2:$A$119,[8]hydro_power_generation_total!$BA$2:$BA$119 )</f>
        <v>#N/A</v>
      </c>
      <c r="L115" s="17" t="e">
        <f>_xlfn.XLOOKUP($A115,[9]ag_lnd_prcp_mm!$A$2:$A$182, [9]ag_lnd_prcp_mm!$BL$2:$BL$182)</f>
        <v>#N/A</v>
      </c>
      <c r="M115" s="17" t="str">
        <f>_xlfn.XLOOKUP($A115,[10]co2_pcap_cons!$A$2:$A$193, [10]co2_pcap_cons!$HQ$2:$HQ$193)</f>
        <v>2.793</v>
      </c>
      <c r="N115" s="17" t="str">
        <f>_xlfn.XLOOKUP($A115,[11]primary_forest_area_ha!$A$2:$A$193, [11]primary_forest_area_ha!$AD$2:$AD$193)</f>
        <v>8186</v>
      </c>
      <c r="O115" s="17" t="str">
        <f>_xlfn.XLOOKUP($A115,[12]en_mam_thrd_no!$A$2:$A$195,[12]en_mam_thrd_no!$G$2:$G$195)</f>
        <v>1</v>
      </c>
      <c r="P115" s="17" t="str">
        <f>_xlfn.XLOOKUP($A115,[13]en_fsh_thrd_no!$A$2:$A$195,[13]en_fsh_thrd_no!$G$2:$G$195)</f>
        <v>27</v>
      </c>
      <c r="Q115" s="17" t="str">
        <f>_xlfn.XLOOKUP($A115,[14]en_bir_thrd_no!$A$2:$A$195,[14]en_bir_thrd_no!$G$2:$G$195)</f>
        <v>5</v>
      </c>
      <c r="R115" s="17">
        <f>_xlfn.XLOOKUP($A115,[15]en_hpt_thrd_no!$A$2:$A$195,[15]en_hpt_thrd_no!$G$2:$G$195)</f>
        <v>0</v>
      </c>
      <c r="S115" s="17" t="str">
        <f>_xlfn.XLOOKUP($A115,[16]er_lnd_ptld_zs!$A$2:$A$194, [16]er_lnd_ptld_zs!$O$2:$O$194)</f>
        <v>16.1</v>
      </c>
      <c r="T115" s="17" t="str">
        <f>_xlfn.XLOOKUP($A115,[17]er_mrn_ptmr_zs!$A$2:$A$155,[17]er_mrn_ptmr_zs!$O$2:$O$155)</f>
        <v>0.3</v>
      </c>
    </row>
    <row r="116" spans="1:20" x14ac:dyDescent="0.2">
      <c r="A116" t="s">
        <v>342</v>
      </c>
      <c r="B116" t="s">
        <v>343</v>
      </c>
      <c r="C116" s="18" t="str">
        <f>_xlfn.XLOOKUP(A116,[1]Tabelle1!$A$2:$A$196,[1]Tabelle1!$C$2:$C$196)</f>
        <v>europe</v>
      </c>
      <c r="D116" t="s">
        <v>344</v>
      </c>
      <c r="E116" s="17" t="str">
        <f>_xlfn.XLOOKUP(A116,[2]lex!$A$2:$A$195, [2]lex!$HU$2:$HU$195)</f>
        <v>77.4</v>
      </c>
      <c r="F116" s="17" t="str">
        <f>_xlfn.XLOOKUP(A116,[3]gdp_pcap!$A$2:$A$194,[3]gdp_pcap!$HT$2:$HT$194 )</f>
        <v>26049.02092</v>
      </c>
      <c r="G116" s="17" t="str">
        <f>_xlfn.XLOOKUP($A116,[4]ag_lnd_totl_k2!$A$2:$A$195, [4]ag_lnd_totl_k2!$BM$2:$BM$195)</f>
        <v>25220</v>
      </c>
      <c r="H116" s="17" t="str">
        <f>_xlfn.XLOOKUP($A116,[5]industrial_water_withdrawal_per!$A$2:$A$179,[5]industrial_water_withdrawal_per!$BH$2:$BH$179 )</f>
        <v>1.4525</v>
      </c>
      <c r="I116" s="17" t="str">
        <f>_xlfn.XLOOKUP($A116,[6]agricultural_water_withdrawal_p!$A$2:$A$180,[6]agricultural_water_withdrawal_p!$BH$2:$BH$180 )</f>
        <v>6.4011</v>
      </c>
      <c r="J116" s="17" t="str">
        <f>_xlfn.XLOOKUP($A116,[7]total_water_withdrawal_billion_!$A$2:$A$180, [7]total_water_withdrawal_billion_!$BK$2:$BK$180  )</f>
        <v>2.1715</v>
      </c>
      <c r="K116" s="17" t="str">
        <f>_xlfn.XLOOKUP($A116,[8]hydro_power_generation_total!$A$2:$A$119,[8]hydro_power_generation_total!$BA$2:$BA$119 )</f>
        <v>208900</v>
      </c>
      <c r="L116" s="17" t="str">
        <f>_xlfn.XLOOKUP($A116,[9]ag_lnd_prcp_mm!$A$2:$A$182, [9]ag_lnd_prcp_mm!$BL$2:$BL$182)</f>
        <v>619</v>
      </c>
      <c r="M116" s="17" t="str">
        <f>_xlfn.XLOOKUP($A116,[10]co2_pcap_cons!$A$2:$A$193, [10]co2_pcap_cons!$HQ$2:$HQ$193)</f>
        <v>3.509</v>
      </c>
      <c r="N116" s="17">
        <f>_xlfn.XLOOKUP($A116,[11]primary_forest_area_ha!$A$2:$A$193, [11]primary_forest_area_ha!$AD$2:$AD$193)</f>
        <v>0</v>
      </c>
      <c r="O116" s="17" t="str">
        <f>_xlfn.XLOOKUP($A116,[12]en_mam_thrd_no!$A$2:$A$195,[12]en_mam_thrd_no!$G$2:$G$195)</f>
        <v>7</v>
      </c>
      <c r="P116" s="17" t="str">
        <f>_xlfn.XLOOKUP($A116,[13]en_fsh_thrd_no!$A$2:$A$195,[13]en_fsh_thrd_no!$G$2:$G$195)</f>
        <v>13</v>
      </c>
      <c r="Q116" s="17" t="str">
        <f>_xlfn.XLOOKUP($A116,[14]en_bir_thrd_no!$A$2:$A$195,[14]en_bir_thrd_no!$G$2:$G$195)</f>
        <v>14</v>
      </c>
      <c r="R116" s="17" t="str">
        <f>_xlfn.XLOOKUP($A116,[15]en_hpt_thrd_no!$A$2:$A$195,[15]en_hpt_thrd_no!$G$2:$G$195)</f>
        <v>6</v>
      </c>
      <c r="S116" s="17" t="str">
        <f>_xlfn.XLOOKUP($A116,[16]er_lnd_ptld_zs!$A$2:$A$194, [16]er_lnd_ptld_zs!$O$2:$O$194)</f>
        <v>29</v>
      </c>
      <c r="T116" s="17" t="e">
        <f>_xlfn.XLOOKUP($A116,[17]er_mrn_ptmr_zs!$A$2:$A$155,[17]er_mrn_ptmr_zs!$O$2:$O$155)</f>
        <v>#N/A</v>
      </c>
    </row>
    <row r="117" spans="1:20" x14ac:dyDescent="0.2">
      <c r="A117" t="s">
        <v>345</v>
      </c>
      <c r="B117" t="s">
        <v>346</v>
      </c>
      <c r="C117" s="18" t="str">
        <f>_xlfn.XLOOKUP(A117,[1]Tabelle1!$A$2:$A$196,[1]Tabelle1!$C$2:$C$196)</f>
        <v>africa</v>
      </c>
      <c r="D117" t="s">
        <v>347</v>
      </c>
      <c r="E117" s="17" t="str">
        <f>_xlfn.XLOOKUP(A117,[2]lex!$A$2:$A$195, [2]lex!$HU$2:$HU$195)</f>
        <v>64.34</v>
      </c>
      <c r="F117" s="17" t="str">
        <f>_xlfn.XLOOKUP(A117,[3]gdp_pcap!$A$2:$A$194,[3]gdp_pcap!$HT$2:$HT$194 )</f>
        <v>3038.49667</v>
      </c>
      <c r="G117" s="17" t="str">
        <f>_xlfn.XLOOKUP($A117,[4]ag_lnd_totl_k2!$A$2:$A$195, [4]ag_lnd_totl_k2!$BM$2:$BM$195)</f>
        <v>1220190</v>
      </c>
      <c r="H117" s="17" t="str">
        <f>_xlfn.XLOOKUP($A117,[5]industrial_water_withdrawal_per!$A$2:$A$179,[5]industrial_water_withdrawal_per!$BH$2:$BH$179 )</f>
        <v>0.07713</v>
      </c>
      <c r="I117" s="17" t="str">
        <f>_xlfn.XLOOKUP($A117,[6]agricultural_water_withdrawal_p!$A$2:$A$180,[6]agricultural_water_withdrawal_p!$BH$2:$BH$180 )</f>
        <v>97.86</v>
      </c>
      <c r="J117" s="17" t="str">
        <f>_xlfn.XLOOKUP($A117,[7]total_water_withdrawal_billion_!$A$2:$A$180, [7]total_water_withdrawal_billion_!$BK$2:$BK$180  )</f>
        <v>5.186</v>
      </c>
      <c r="K117" s="17" t="e">
        <f>_xlfn.XLOOKUP($A117,[8]hydro_power_generation_total!$A$2:$A$119,[8]hydro_power_generation_total!$BA$2:$BA$119 )</f>
        <v>#N/A</v>
      </c>
      <c r="L117" s="17" t="str">
        <f>_xlfn.XLOOKUP($A117,[9]ag_lnd_prcp_mm!$A$2:$A$182, [9]ag_lnd_prcp_mm!$BL$2:$BL$182)</f>
        <v>282</v>
      </c>
      <c r="M117" s="17" t="str">
        <f>_xlfn.XLOOKUP($A117,[10]co2_pcap_cons!$A$2:$A$193, [10]co2_pcap_cons!$HQ$2:$HQ$193)</f>
        <v>0.204</v>
      </c>
      <c r="N117" s="17">
        <f>_xlfn.XLOOKUP($A117,[11]primary_forest_area_ha!$A$2:$A$193, [11]primary_forest_area_ha!$AD$2:$AD$193)</f>
        <v>0</v>
      </c>
      <c r="O117" s="17" t="str">
        <f>_xlfn.XLOOKUP($A117,[12]en_mam_thrd_no!$A$2:$A$195,[12]en_mam_thrd_no!$G$2:$G$195)</f>
        <v>14</v>
      </c>
      <c r="P117" s="17" t="str">
        <f>_xlfn.XLOOKUP($A117,[13]en_fsh_thrd_no!$A$2:$A$195,[13]en_fsh_thrd_no!$G$2:$G$195)</f>
        <v>1</v>
      </c>
      <c r="Q117" s="17" t="str">
        <f>_xlfn.XLOOKUP($A117,[14]en_bir_thrd_no!$A$2:$A$195,[14]en_bir_thrd_no!$G$2:$G$195)</f>
        <v>20</v>
      </c>
      <c r="R117" s="17" t="str">
        <f>_xlfn.XLOOKUP($A117,[15]en_hpt_thrd_no!$A$2:$A$195,[15]en_hpt_thrd_no!$G$2:$G$195)</f>
        <v>29</v>
      </c>
      <c r="S117" s="17" t="str">
        <f>_xlfn.XLOOKUP($A117,[16]er_lnd_ptld_zs!$A$2:$A$194, [16]er_lnd_ptld_zs!$O$2:$O$194)</f>
        <v>7.5</v>
      </c>
      <c r="T117" s="17" t="e">
        <f>_xlfn.XLOOKUP($A117,[17]er_mrn_ptmr_zs!$A$2:$A$155,[17]er_mrn_ptmr_zs!$O$2:$O$155)</f>
        <v>#N/A</v>
      </c>
    </row>
    <row r="118" spans="1:20" x14ac:dyDescent="0.2">
      <c r="A118" t="s">
        <v>348</v>
      </c>
      <c r="B118" t="s">
        <v>349</v>
      </c>
      <c r="C118" s="18" t="str">
        <f>_xlfn.XLOOKUP(A118,[1]Tabelle1!$A$2:$A$196,[1]Tabelle1!$C$2:$C$196)</f>
        <v>europe</v>
      </c>
      <c r="D118" t="s">
        <v>350</v>
      </c>
      <c r="E118" s="17" t="str">
        <f>_xlfn.XLOOKUP(A118,[2]lex!$A$2:$A$195, [2]lex!$HU$2:$HU$195)</f>
        <v>83.5</v>
      </c>
      <c r="F118" s="17" t="str">
        <f>_xlfn.XLOOKUP(A118,[3]gdp_pcap!$A$2:$A$194,[3]gdp_pcap!$HT$2:$HT$194 )</f>
        <v>63314.49955</v>
      </c>
      <c r="G118" s="17" t="str">
        <f>_xlfn.XLOOKUP($A118,[4]ag_lnd_totl_k2!$A$2:$A$195, [4]ag_lnd_totl_k2!$BM$2:$BM$195)</f>
        <v>320</v>
      </c>
      <c r="H118" s="17" t="str">
        <f>_xlfn.XLOOKUP($A118,[5]industrial_water_withdrawal_per!$A$2:$A$179,[5]industrial_water_withdrawal_per!$BH$2:$BH$179 )</f>
        <v>1.6167</v>
      </c>
      <c r="I118" s="17" t="str">
        <f>_xlfn.XLOOKUP($A118,[6]agricultural_water_withdrawal_p!$A$2:$A$180,[6]agricultural_water_withdrawal_p!$BH$2:$BH$180 )</f>
        <v>34.529</v>
      </c>
      <c r="J118" s="17" t="str">
        <f>_xlfn.XLOOKUP($A118,[7]total_water_withdrawal_billion_!$A$2:$A$180, [7]total_water_withdrawal_billion_!$BK$2:$BK$180  )</f>
        <v>0.06186</v>
      </c>
      <c r="K118" s="17" t="e">
        <f>_xlfn.XLOOKUP($A118,[8]hydro_power_generation_total!$A$2:$A$119,[8]hydro_power_generation_total!$BA$2:$BA$119 )</f>
        <v>#N/A</v>
      </c>
      <c r="L118" s="17" t="str">
        <f>_xlfn.XLOOKUP($A118,[9]ag_lnd_prcp_mm!$A$2:$A$182, [9]ag_lnd_prcp_mm!$BL$2:$BL$182)</f>
        <v>560</v>
      </c>
      <c r="M118" s="17" t="str">
        <f>_xlfn.XLOOKUP($A118,[10]co2_pcap_cons!$A$2:$A$193, [10]co2_pcap_cons!$HQ$2:$HQ$193)</f>
        <v>17.338</v>
      </c>
      <c r="N118" s="17">
        <f>_xlfn.XLOOKUP($A118,[11]primary_forest_area_ha!$A$2:$A$193, [11]primary_forest_area_ha!$AD$2:$AD$193)</f>
        <v>0</v>
      </c>
      <c r="O118" s="17" t="str">
        <f>_xlfn.XLOOKUP($A118,[12]en_mam_thrd_no!$A$2:$A$195,[12]en_mam_thrd_no!$G$2:$G$195)</f>
        <v>3</v>
      </c>
      <c r="P118" s="17" t="str">
        <f>_xlfn.XLOOKUP($A118,[13]en_fsh_thrd_no!$A$2:$A$195,[13]en_fsh_thrd_no!$G$2:$G$195)</f>
        <v>43</v>
      </c>
      <c r="Q118" s="17" t="str">
        <f>_xlfn.XLOOKUP($A118,[14]en_bir_thrd_no!$A$2:$A$195,[14]en_bir_thrd_no!$G$2:$G$195)</f>
        <v>6</v>
      </c>
      <c r="R118" s="17" t="str">
        <f>_xlfn.XLOOKUP($A118,[15]en_hpt_thrd_no!$A$2:$A$195,[15]en_hpt_thrd_no!$G$2:$G$195)</f>
        <v>4</v>
      </c>
      <c r="S118" s="17" t="str">
        <f>_xlfn.XLOOKUP($A118,[16]er_lnd_ptld_zs!$A$2:$A$194, [16]er_lnd_ptld_zs!$O$2:$O$194)</f>
        <v>29</v>
      </c>
      <c r="T118" s="17" t="str">
        <f>_xlfn.XLOOKUP($A118,[17]er_mrn_ptmr_zs!$A$2:$A$155,[17]er_mrn_ptmr_zs!$O$2:$O$155)</f>
        <v>7.8</v>
      </c>
    </row>
    <row r="119" spans="1:20" x14ac:dyDescent="0.2">
      <c r="A119" t="s">
        <v>351</v>
      </c>
      <c r="B119" t="s">
        <v>352</v>
      </c>
      <c r="C119" s="18" t="str">
        <f>_xlfn.XLOOKUP(A119,[1]Tabelle1!$A$2:$A$196,[1]Tabelle1!$C$2:$C$196)</f>
        <v>asia</v>
      </c>
      <c r="D119" t="s">
        <v>353</v>
      </c>
      <c r="E119" s="17" t="str">
        <f>_xlfn.XLOOKUP(A119,[2]lex!$A$2:$A$195, [2]lex!$HU$2:$HU$195)</f>
        <v>65.99</v>
      </c>
      <c r="F119" s="17" t="str">
        <f>_xlfn.XLOOKUP(A119,[3]gdp_pcap!$A$2:$A$194,[3]gdp_pcap!$HT$2:$HT$194 )</f>
        <v>5493.95419</v>
      </c>
      <c r="G119" s="17" t="str">
        <f>_xlfn.XLOOKUP($A119,[4]ag_lnd_totl_k2!$A$2:$A$195, [4]ag_lnd_totl_k2!$BM$2:$BM$195)</f>
        <v>652670</v>
      </c>
      <c r="H119" s="17" t="str">
        <f>_xlfn.XLOOKUP($A119,[5]industrial_water_withdrawal_per!$A$2:$A$179,[5]industrial_water_withdrawal_per!$BH$2:$BH$179 )</f>
        <v>1.4926</v>
      </c>
      <c r="I119" s="17" t="str">
        <f>_xlfn.XLOOKUP($A119,[6]agricultural_water_withdrawal_p!$A$2:$A$180,[6]agricultural_water_withdrawal_p!$BH$2:$BH$180 )</f>
        <v>88.556</v>
      </c>
      <c r="J119" s="17" t="str">
        <f>_xlfn.XLOOKUP($A119,[7]total_water_withdrawal_billion_!$A$2:$A$180, [7]total_water_withdrawal_billion_!$BK$2:$BK$180  )</f>
        <v>33.391</v>
      </c>
      <c r="K119" s="17" t="str">
        <f>_xlfn.XLOOKUP($A119,[8]hydro_power_generation_total!$A$2:$A$119,[8]hydro_power_generation_total!$BA$2:$BA$119 )</f>
        <v>439000</v>
      </c>
      <c r="L119" s="17" t="str">
        <f>_xlfn.XLOOKUP($A119,[9]ag_lnd_prcp_mm!$A$2:$A$182, [9]ag_lnd_prcp_mm!$BL$2:$BL$182)</f>
        <v>2091</v>
      </c>
      <c r="M119" s="17" t="str">
        <f>_xlfn.XLOOKUP($A119,[10]co2_pcap_cons!$A$2:$A$193, [10]co2_pcap_cons!$HQ$2:$HQ$193)</f>
        <v>0.549</v>
      </c>
      <c r="N119" s="17" t="str">
        <f>_xlfn.XLOOKUP($A119,[11]primary_forest_area_ha!$A$2:$A$193, [11]primary_forest_area_ha!$AD$2:$AD$193)</f>
        <v>3192000</v>
      </c>
      <c r="O119" s="17" t="str">
        <f>_xlfn.XLOOKUP($A119,[12]en_mam_thrd_no!$A$2:$A$195,[12]en_mam_thrd_no!$G$2:$G$195)</f>
        <v>54</v>
      </c>
      <c r="P119" s="17" t="str">
        <f>_xlfn.XLOOKUP($A119,[13]en_fsh_thrd_no!$A$2:$A$195,[13]en_fsh_thrd_no!$G$2:$G$195)</f>
        <v>98</v>
      </c>
      <c r="Q119" s="17" t="str">
        <f>_xlfn.XLOOKUP($A119,[14]en_bir_thrd_no!$A$2:$A$195,[14]en_bir_thrd_no!$G$2:$G$195)</f>
        <v>57</v>
      </c>
      <c r="R119" s="17" t="str">
        <f>_xlfn.XLOOKUP($A119,[15]en_hpt_thrd_no!$A$2:$A$195,[15]en_hpt_thrd_no!$G$2:$G$195)</f>
        <v>110</v>
      </c>
      <c r="S119" s="17" t="str">
        <f>_xlfn.XLOOKUP($A119,[16]er_lnd_ptld_zs!$A$2:$A$194, [16]er_lnd_ptld_zs!$O$2:$O$194)</f>
        <v>6.7</v>
      </c>
      <c r="T119" s="17" t="str">
        <f>_xlfn.XLOOKUP($A119,[17]er_mrn_ptmr_zs!$A$2:$A$155,[17]er_mrn_ptmr_zs!$O$2:$O$155)</f>
        <v>0.6</v>
      </c>
    </row>
    <row r="120" spans="1:20" x14ac:dyDescent="0.2">
      <c r="A120" t="s">
        <v>354</v>
      </c>
      <c r="B120" t="s">
        <v>355</v>
      </c>
      <c r="C120" s="18" t="str">
        <f>_xlfn.XLOOKUP(A120,[1]Tabelle1!$A$2:$A$196,[1]Tabelle1!$C$2:$C$196)</f>
        <v>europe</v>
      </c>
      <c r="D120" t="s">
        <v>356</v>
      </c>
      <c r="E120" s="17" t="str">
        <f>_xlfn.XLOOKUP(A120,[2]lex!$A$2:$A$195, [2]lex!$HU$2:$HU$195)</f>
        <v>77.6</v>
      </c>
      <c r="F120" s="17" t="str">
        <f>_xlfn.XLOOKUP(A120,[3]gdp_pcap!$A$2:$A$194,[3]gdp_pcap!$HT$2:$HT$194 )</f>
        <v>29492.07923</v>
      </c>
      <c r="G120" s="17" t="str">
        <f>_xlfn.XLOOKUP($A120,[4]ag_lnd_totl_k2!$A$2:$A$195, [4]ag_lnd_totl_k2!$BM$2:$BM$195)</f>
        <v>13450</v>
      </c>
      <c r="H120" s="17" t="str">
        <f>_xlfn.XLOOKUP($A120,[5]industrial_water_withdrawal_per!$A$2:$A$179,[5]industrial_water_withdrawal_per!$BH$2:$BH$179 )</f>
        <v>94.197</v>
      </c>
      <c r="I120" s="17" t="str">
        <f>_xlfn.XLOOKUP($A120,[6]agricultural_water_withdrawal_p!$A$2:$A$180,[6]agricultural_water_withdrawal_p!$BH$2:$BH$180 )</f>
        <v>0.30629</v>
      </c>
      <c r="J120" s="17" t="str">
        <f>_xlfn.XLOOKUP($A120,[7]total_water_withdrawal_billion_!$A$2:$A$180, [7]total_water_withdrawal_billion_!$BK$2:$BK$180  )</f>
        <v>2.207</v>
      </c>
      <c r="K120" s="17" t="str">
        <f>_xlfn.XLOOKUP($A120,[8]hydro_power_generation_total!$A$2:$A$119,[8]hydro_power_generation_total!$BA$2:$BA$119 )</f>
        <v>236500</v>
      </c>
      <c r="L120" s="17" t="e">
        <f>_xlfn.XLOOKUP($A120,[9]ag_lnd_prcp_mm!$A$2:$A$182, [9]ag_lnd_prcp_mm!$BL$2:$BL$182)</f>
        <v>#N/A</v>
      </c>
      <c r="M120" s="17" t="str">
        <f>_xlfn.XLOOKUP($A120,[10]co2_pcap_cons!$A$2:$A$193, [10]co2_pcap_cons!$HQ$2:$HQ$193)</f>
        <v>3.166</v>
      </c>
      <c r="N120" s="17" t="str">
        <f>_xlfn.XLOOKUP($A120,[11]primary_forest_area_ha!$A$2:$A$193, [11]primary_forest_area_ha!$AD$2:$AD$193)</f>
        <v>109000</v>
      </c>
      <c r="O120" s="17" t="str">
        <f>_xlfn.XLOOKUP($A120,[12]en_mam_thrd_no!$A$2:$A$195,[12]en_mam_thrd_no!$G$2:$G$195)</f>
        <v>7</v>
      </c>
      <c r="P120" s="17" t="str">
        <f>_xlfn.XLOOKUP($A120,[13]en_fsh_thrd_no!$A$2:$A$195,[13]en_fsh_thrd_no!$G$2:$G$195)</f>
        <v>52</v>
      </c>
      <c r="Q120" s="17" t="str">
        <f>_xlfn.XLOOKUP($A120,[14]en_bir_thrd_no!$A$2:$A$195,[14]en_bir_thrd_no!$G$2:$G$195)</f>
        <v>13</v>
      </c>
      <c r="R120" s="17" t="str">
        <f>_xlfn.XLOOKUP($A120,[15]en_hpt_thrd_no!$A$2:$A$195,[15]en_hpt_thrd_no!$G$2:$G$195)</f>
        <v>6</v>
      </c>
      <c r="S120" s="17" t="str">
        <f>_xlfn.XLOOKUP($A120,[16]er_lnd_ptld_zs!$A$2:$A$194, [16]er_lnd_ptld_zs!$O$2:$O$194)</f>
        <v>22.2</v>
      </c>
      <c r="T120" s="17" t="str">
        <f>_xlfn.XLOOKUP($A120,[17]er_mrn_ptmr_zs!$A$2:$A$155,[17]er_mrn_ptmr_zs!$O$2:$O$155)</f>
        <v>5.3</v>
      </c>
    </row>
    <row r="121" spans="1:20" x14ac:dyDescent="0.2">
      <c r="A121" t="s">
        <v>357</v>
      </c>
      <c r="B121" t="s">
        <v>358</v>
      </c>
      <c r="C121" s="18" t="str">
        <f>_xlfn.XLOOKUP(A121,[1]Tabelle1!$A$2:$A$196,[1]Tabelle1!$C$2:$C$196)</f>
        <v>asia</v>
      </c>
      <c r="D121" t="s">
        <v>359</v>
      </c>
      <c r="E121" s="17" t="str">
        <f>_xlfn.XLOOKUP(A121,[2]lex!$A$2:$A$195, [2]lex!$HU$2:$HU$195)</f>
        <v>73.92</v>
      </c>
      <c r="F121" s="17" t="str">
        <f>_xlfn.XLOOKUP(A121,[3]gdp_pcap!$A$2:$A$194,[3]gdp_pcap!$HT$2:$HT$194 )</f>
        <v>18091.8807</v>
      </c>
      <c r="G121" s="17" t="str">
        <f>_xlfn.XLOOKUP($A121,[4]ag_lnd_totl_k2!$A$2:$A$195, [4]ag_lnd_totl_k2!$BM$2:$BM$195)</f>
        <v>1558499.786</v>
      </c>
      <c r="H121" s="17" t="str">
        <f>_xlfn.XLOOKUP($A121,[5]industrial_water_withdrawal_per!$A$2:$A$179,[5]industrial_water_withdrawal_per!$BH$2:$BH$179 )</f>
        <v>35.943</v>
      </c>
      <c r="I121" s="17" t="str">
        <f>_xlfn.XLOOKUP($A121,[6]agricultural_water_withdrawal_p!$A$2:$A$180,[6]agricultural_water_withdrawal_p!$BH$2:$BH$180 )</f>
        <v>54.26</v>
      </c>
      <c r="J121" s="17" t="str">
        <f>_xlfn.XLOOKUP($A121,[7]total_water_withdrawal_billion_!$A$2:$A$180, [7]total_water_withdrawal_billion_!$BK$2:$BK$180  )</f>
        <v>0.4624</v>
      </c>
      <c r="K121" s="17" t="e">
        <f>_xlfn.XLOOKUP($A121,[8]hydro_power_generation_total!$A$2:$A$119,[8]hydro_power_generation_total!$BA$2:$BA$119 )</f>
        <v>#N/A</v>
      </c>
      <c r="L121" s="17" t="str">
        <f>_xlfn.XLOOKUP($A121,[9]ag_lnd_prcp_mm!$A$2:$A$182, [9]ag_lnd_prcp_mm!$BL$2:$BL$182)</f>
        <v>241</v>
      </c>
      <c r="M121" s="17" t="str">
        <f>_xlfn.XLOOKUP($A121,[10]co2_pcap_cons!$A$2:$A$193, [10]co2_pcap_cons!$HQ$2:$HQ$193)</f>
        <v>14.235</v>
      </c>
      <c r="N121" s="17" t="str">
        <f>_xlfn.XLOOKUP($A121,[11]primary_forest_area_ha!$A$2:$A$193, [11]primary_forest_area_ha!$AD$2:$AD$193)</f>
        <v>12551600</v>
      </c>
      <c r="O121" s="17" t="str">
        <f>_xlfn.XLOOKUP($A121,[12]en_mam_thrd_no!$A$2:$A$195,[12]en_mam_thrd_no!$G$2:$G$195)</f>
        <v>11</v>
      </c>
      <c r="P121" s="17" t="str">
        <f>_xlfn.XLOOKUP($A121,[13]en_fsh_thrd_no!$A$2:$A$195,[13]en_fsh_thrd_no!$G$2:$G$195)</f>
        <v>1</v>
      </c>
      <c r="Q121" s="17" t="str">
        <f>_xlfn.XLOOKUP($A121,[14]en_bir_thrd_no!$A$2:$A$195,[14]en_bir_thrd_no!$G$2:$G$195)</f>
        <v>24</v>
      </c>
      <c r="R121" s="17">
        <f>_xlfn.XLOOKUP($A121,[15]en_hpt_thrd_no!$A$2:$A$195,[15]en_hpt_thrd_no!$G$2:$G$195)</f>
        <v>0</v>
      </c>
      <c r="S121" s="17" t="str">
        <f>_xlfn.XLOOKUP($A121,[16]er_lnd_ptld_zs!$A$2:$A$194, [16]er_lnd_ptld_zs!$O$2:$O$194)</f>
        <v>19.8</v>
      </c>
      <c r="T121" s="17" t="e">
        <f>_xlfn.XLOOKUP($A121,[17]er_mrn_ptmr_zs!$A$2:$A$155,[17]er_mrn_ptmr_zs!$O$2:$O$155)</f>
        <v>#N/A</v>
      </c>
    </row>
    <row r="122" spans="1:20" x14ac:dyDescent="0.2">
      <c r="A122" t="s">
        <v>360</v>
      </c>
      <c r="B122" t="s">
        <v>361</v>
      </c>
      <c r="C122" s="18" t="str">
        <f>_xlfn.XLOOKUP(A122,[1]Tabelle1!$A$2:$A$196,[1]Tabelle1!$C$2:$C$196)</f>
        <v>africa</v>
      </c>
      <c r="D122" t="s">
        <v>362</v>
      </c>
      <c r="E122" s="17" t="str">
        <f>_xlfn.XLOOKUP(A122,[2]lex!$A$2:$A$195, [2]lex!$HU$2:$HU$195)</f>
        <v>65.41</v>
      </c>
      <c r="F122" s="17" t="str">
        <f>_xlfn.XLOOKUP(A122,[3]gdp_pcap!$A$2:$A$194,[3]gdp_pcap!$HT$2:$HT$194 )</f>
        <v>1530.91465</v>
      </c>
      <c r="G122" s="17" t="str">
        <f>_xlfn.XLOOKUP($A122,[4]ag_lnd_totl_k2!$A$2:$A$195, [4]ag_lnd_totl_k2!$BM$2:$BM$195)</f>
        <v>786380</v>
      </c>
      <c r="H122" s="17" t="str">
        <f>_xlfn.XLOOKUP($A122,[5]industrial_water_withdrawal_per!$A$2:$A$179,[5]industrial_water_withdrawal_per!$BH$2:$BH$179 )</f>
        <v>1.6972</v>
      </c>
      <c r="I122" s="17" t="str">
        <f>_xlfn.XLOOKUP($A122,[6]agricultural_water_withdrawal_p!$A$2:$A$180,[6]agricultural_water_withdrawal_p!$BH$2:$BH$180 )</f>
        <v>73.048</v>
      </c>
      <c r="J122" s="17" t="str">
        <f>_xlfn.XLOOKUP($A122,[7]total_water_withdrawal_billion_!$A$2:$A$180, [7]total_water_withdrawal_billion_!$BK$2:$BK$180  )</f>
        <v>1.473</v>
      </c>
      <c r="K122" s="17" t="str">
        <f>_xlfn.XLOOKUP($A122,[8]hydro_power_generation_total!$A$2:$A$119,[8]hydro_power_generation_total!$BA$2:$BA$119 )</f>
        <v>1431000</v>
      </c>
      <c r="L122" s="17" t="str">
        <f>_xlfn.XLOOKUP($A122,[9]ag_lnd_prcp_mm!$A$2:$A$182, [9]ag_lnd_prcp_mm!$BL$2:$BL$182)</f>
        <v>1032</v>
      </c>
      <c r="M122" s="17" t="str">
        <f>_xlfn.XLOOKUP($A122,[10]co2_pcap_cons!$A$2:$A$193, [10]co2_pcap_cons!$HQ$2:$HQ$193)</f>
        <v>0.456</v>
      </c>
      <c r="N122" s="17">
        <f>_xlfn.XLOOKUP($A122,[11]primary_forest_area_ha!$A$2:$A$193, [11]primary_forest_area_ha!$AD$2:$AD$193)</f>
        <v>0</v>
      </c>
      <c r="O122" s="17" t="str">
        <f>_xlfn.XLOOKUP($A122,[12]en_mam_thrd_no!$A$2:$A$195,[12]en_mam_thrd_no!$G$2:$G$195)</f>
        <v>19</v>
      </c>
      <c r="P122" s="17" t="str">
        <f>_xlfn.XLOOKUP($A122,[13]en_fsh_thrd_no!$A$2:$A$195,[13]en_fsh_thrd_no!$G$2:$G$195)</f>
        <v>105</v>
      </c>
      <c r="Q122" s="17" t="str">
        <f>_xlfn.XLOOKUP($A122,[14]en_bir_thrd_no!$A$2:$A$195,[14]en_bir_thrd_no!$G$2:$G$195)</f>
        <v>32</v>
      </c>
      <c r="R122" s="17" t="str">
        <f>_xlfn.XLOOKUP($A122,[15]en_hpt_thrd_no!$A$2:$A$195,[15]en_hpt_thrd_no!$G$2:$G$195)</f>
        <v>283</v>
      </c>
      <c r="S122" s="17" t="str">
        <f>_xlfn.XLOOKUP($A122,[16]er_lnd_ptld_zs!$A$2:$A$194, [16]er_lnd_ptld_zs!$O$2:$O$194)</f>
        <v>29.5</v>
      </c>
      <c r="T122" s="17" t="str">
        <f>_xlfn.XLOOKUP($A122,[17]er_mrn_ptmr_zs!$A$2:$A$155,[17]er_mrn_ptmr_zs!$O$2:$O$155)</f>
        <v>2.1</v>
      </c>
    </row>
    <row r="123" spans="1:20" x14ac:dyDescent="0.2">
      <c r="A123" t="s">
        <v>363</v>
      </c>
      <c r="B123" t="s">
        <v>364</v>
      </c>
      <c r="C123" s="18" t="str">
        <f>_xlfn.XLOOKUP(A123,[1]Tabelle1!$A$2:$A$196,[1]Tabelle1!$C$2:$C$196)</f>
        <v>africa</v>
      </c>
      <c r="D123" t="s">
        <v>365</v>
      </c>
      <c r="E123" s="17" t="str">
        <f>_xlfn.XLOOKUP(A123,[2]lex!$A$2:$A$195, [2]lex!$HU$2:$HU$195)</f>
        <v>68.8</v>
      </c>
      <c r="F123" s="17" t="str">
        <f>_xlfn.XLOOKUP(A123,[3]gdp_pcap!$A$2:$A$194,[3]gdp_pcap!$HT$2:$HT$194 )</f>
        <v>6709.96294</v>
      </c>
      <c r="G123" s="17" t="str">
        <f>_xlfn.XLOOKUP($A123,[4]ag_lnd_totl_k2!$A$2:$A$195, [4]ag_lnd_totl_k2!$BM$2:$BM$195)</f>
        <v>1030700</v>
      </c>
      <c r="H123" s="17" t="str">
        <f>_xlfn.XLOOKUP($A123,[5]industrial_water_withdrawal_per!$A$2:$A$179,[5]industrial_water_withdrawal_per!$BH$2:$BH$179 )</f>
        <v>2.3552</v>
      </c>
      <c r="I123" s="17" t="str">
        <f>_xlfn.XLOOKUP($A123,[6]agricultural_water_withdrawal_p!$A$2:$A$180,[6]agricultural_water_withdrawal_p!$BH$2:$BH$180 )</f>
        <v>90.579</v>
      </c>
      <c r="J123" s="17" t="str">
        <f>_xlfn.XLOOKUP($A123,[7]total_water_withdrawal_billion_!$A$2:$A$180, [7]total_water_withdrawal_billion_!$BK$2:$BK$180  )</f>
        <v>1.3502</v>
      </c>
      <c r="K123" s="17" t="e">
        <f>_xlfn.XLOOKUP($A123,[8]hydro_power_generation_total!$A$2:$A$119,[8]hydro_power_generation_total!$BA$2:$BA$119 )</f>
        <v>#N/A</v>
      </c>
      <c r="L123" s="17" t="str">
        <f>_xlfn.XLOOKUP($A123,[9]ag_lnd_prcp_mm!$A$2:$A$182, [9]ag_lnd_prcp_mm!$BL$2:$BL$182)</f>
        <v>92</v>
      </c>
      <c r="M123" s="17" t="str">
        <f>_xlfn.XLOOKUP($A123,[10]co2_pcap_cons!$A$2:$A$193, [10]co2_pcap_cons!$HQ$2:$HQ$193)</f>
        <v>0.661</v>
      </c>
      <c r="N123" s="17">
        <f>_xlfn.XLOOKUP($A123,[11]primary_forest_area_ha!$A$2:$A$193, [11]primary_forest_area_ha!$AD$2:$AD$193)</f>
        <v>0</v>
      </c>
      <c r="O123" s="17" t="str">
        <f>_xlfn.XLOOKUP($A123,[12]en_mam_thrd_no!$A$2:$A$195,[12]en_mam_thrd_no!$G$2:$G$195)</f>
        <v>18</v>
      </c>
      <c r="P123" s="17" t="str">
        <f>_xlfn.XLOOKUP($A123,[13]en_fsh_thrd_no!$A$2:$A$195,[13]en_fsh_thrd_no!$G$2:$G$195)</f>
        <v>78</v>
      </c>
      <c r="Q123" s="17" t="str">
        <f>_xlfn.XLOOKUP($A123,[14]en_bir_thrd_no!$A$2:$A$195,[14]en_bir_thrd_no!$G$2:$G$195)</f>
        <v>24</v>
      </c>
      <c r="R123" s="17" t="str">
        <f>_xlfn.XLOOKUP($A123,[15]en_hpt_thrd_no!$A$2:$A$195,[15]en_hpt_thrd_no!$G$2:$G$195)</f>
        <v>1</v>
      </c>
      <c r="S123" s="17" t="str">
        <f>_xlfn.XLOOKUP($A123,[16]er_lnd_ptld_zs!$A$2:$A$194, [16]er_lnd_ptld_zs!$O$2:$O$194)</f>
        <v>0.6</v>
      </c>
      <c r="T123" s="17" t="str">
        <f>_xlfn.XLOOKUP($A123,[17]er_mrn_ptmr_zs!$A$2:$A$155,[17]er_mrn_ptmr_zs!$O$2:$O$155)</f>
        <v>3.7</v>
      </c>
    </row>
    <row r="124" spans="1:20" x14ac:dyDescent="0.2">
      <c r="A124" t="s">
        <v>366</v>
      </c>
      <c r="B124" t="s">
        <v>367</v>
      </c>
      <c r="C124" s="18" t="str">
        <f>_xlfn.XLOOKUP(A124,[1]Tabelle1!$A$2:$A$196,[1]Tabelle1!$C$2:$C$196)</f>
        <v>africa</v>
      </c>
      <c r="D124" t="s">
        <v>368</v>
      </c>
      <c r="E124" s="17" t="str">
        <f>_xlfn.XLOOKUP(A124,[2]lex!$A$2:$A$195, [2]lex!$HU$2:$HU$195)</f>
        <v>74.29</v>
      </c>
      <c r="F124" s="17" t="str">
        <f>_xlfn.XLOOKUP(A124,[3]gdp_pcap!$A$2:$A$194,[3]gdp_pcap!$HT$2:$HT$194 )</f>
        <v>28927.4972</v>
      </c>
      <c r="G124" s="17" t="str">
        <f>_xlfn.XLOOKUP($A124,[4]ag_lnd_totl_k2!$A$2:$A$195, [4]ag_lnd_totl_k2!$BM$2:$BM$195)</f>
        <v>1997</v>
      </c>
      <c r="H124" s="17" t="str">
        <f>_xlfn.XLOOKUP($A124,[5]industrial_water_withdrawal_per!$A$2:$A$179,[5]industrial_water_withdrawal_per!$BH$2:$BH$179 )</f>
        <v>1.5798</v>
      </c>
      <c r="I124" s="17" t="str">
        <f>_xlfn.XLOOKUP($A124,[6]agricultural_water_withdrawal_p!$A$2:$A$180,[6]agricultural_water_withdrawal_p!$BH$2:$BH$180 )</f>
        <v>47.867</v>
      </c>
      <c r="J124" s="17" t="str">
        <f>_xlfn.XLOOKUP($A124,[7]total_water_withdrawal_billion_!$A$2:$A$180, [7]total_water_withdrawal_billion_!$BK$2:$BK$180  )</f>
        <v>0.633</v>
      </c>
      <c r="K124" s="17" t="e">
        <f>_xlfn.XLOOKUP($A124,[8]hydro_power_generation_total!$A$2:$A$119,[8]hydro_power_generation_total!$BA$2:$BA$119 )</f>
        <v>#N/A</v>
      </c>
      <c r="L124" s="17" t="str">
        <f>_xlfn.XLOOKUP($A124,[9]ag_lnd_prcp_mm!$A$2:$A$182, [9]ag_lnd_prcp_mm!$BL$2:$BL$182)</f>
        <v>2041</v>
      </c>
      <c r="M124" s="17" t="str">
        <f>_xlfn.XLOOKUP($A124,[10]co2_pcap_cons!$A$2:$A$193, [10]co2_pcap_cons!$HQ$2:$HQ$193)</f>
        <v>4.881</v>
      </c>
      <c r="N124" s="17">
        <f>_xlfn.XLOOKUP($A124,[11]primary_forest_area_ha!$A$2:$A$193, [11]primary_forest_area_ha!$AD$2:$AD$193)</f>
        <v>0</v>
      </c>
      <c r="O124" s="17" t="str">
        <f>_xlfn.XLOOKUP($A124,[12]en_mam_thrd_no!$A$2:$A$195,[12]en_mam_thrd_no!$G$2:$G$195)</f>
        <v>7</v>
      </c>
      <c r="P124" s="17" t="str">
        <f>_xlfn.XLOOKUP($A124,[13]en_fsh_thrd_no!$A$2:$A$195,[13]en_fsh_thrd_no!$G$2:$G$195)</f>
        <v>30</v>
      </c>
      <c r="Q124" s="17" t="str">
        <f>_xlfn.XLOOKUP($A124,[14]en_bir_thrd_no!$A$2:$A$195,[14]en_bir_thrd_no!$G$2:$G$195)</f>
        <v>12</v>
      </c>
      <c r="R124" s="17" t="str">
        <f>_xlfn.XLOOKUP($A124,[15]en_hpt_thrd_no!$A$2:$A$195,[15]en_hpt_thrd_no!$G$2:$G$195)</f>
        <v>103</v>
      </c>
      <c r="S124" s="17" t="str">
        <f>_xlfn.XLOOKUP($A124,[16]er_lnd_ptld_zs!$A$2:$A$194, [16]er_lnd_ptld_zs!$O$2:$O$194)</f>
        <v>5</v>
      </c>
      <c r="T124" s="17">
        <f>_xlfn.XLOOKUP($A124,[17]er_mrn_ptmr_zs!$A$2:$A$155,[17]er_mrn_ptmr_zs!$O$2:$O$155)</f>
        <v>0</v>
      </c>
    </row>
    <row r="125" spans="1:20" x14ac:dyDescent="0.2">
      <c r="A125" t="s">
        <v>369</v>
      </c>
      <c r="B125" t="s">
        <v>370</v>
      </c>
      <c r="C125" s="18" t="str">
        <f>_xlfn.XLOOKUP(A125,[1]Tabelle1!$A$2:$A$196,[1]Tabelle1!$C$2:$C$196)</f>
        <v>africa</v>
      </c>
      <c r="D125" t="s">
        <v>371</v>
      </c>
      <c r="E125" s="17" t="str">
        <f>_xlfn.XLOOKUP(A125,[2]lex!$A$2:$A$195, [2]lex!$HU$2:$HU$195)</f>
        <v>62.46</v>
      </c>
      <c r="F125" s="17" t="str">
        <f>_xlfn.XLOOKUP(A125,[3]gdp_pcap!$A$2:$A$194,[3]gdp_pcap!$HT$2:$HT$194 )</f>
        <v>1689.43091</v>
      </c>
      <c r="G125" s="17" t="str">
        <f>_xlfn.XLOOKUP($A125,[4]ag_lnd_totl_k2!$A$2:$A$195, [4]ag_lnd_totl_k2!$BM$2:$BM$195)</f>
        <v>94280</v>
      </c>
      <c r="H125" s="17" t="str">
        <f>_xlfn.XLOOKUP($A125,[5]industrial_water_withdrawal_per!$A$2:$A$179,[5]industrial_water_withdrawal_per!$BH$2:$BH$179 )</f>
        <v>3.5156</v>
      </c>
      <c r="I125" s="17" t="str">
        <f>_xlfn.XLOOKUP($A125,[6]agricultural_water_withdrawal_p!$A$2:$A$180,[6]agricultural_water_withdrawal_p!$BH$2:$BH$180 )</f>
        <v>85.938</v>
      </c>
      <c r="J125" s="17" t="str">
        <f>_xlfn.XLOOKUP($A125,[7]total_water_withdrawal_billion_!$A$2:$A$180, [7]total_water_withdrawal_billion_!$BK$2:$BK$180  )</f>
        <v>1.3568</v>
      </c>
      <c r="K125" s="17" t="e">
        <f>_xlfn.XLOOKUP($A125,[8]hydro_power_generation_total!$A$2:$A$119,[8]hydro_power_generation_total!$BA$2:$BA$119 )</f>
        <v>#N/A</v>
      </c>
      <c r="L125" s="17" t="str">
        <f>_xlfn.XLOOKUP($A125,[9]ag_lnd_prcp_mm!$A$2:$A$182, [9]ag_lnd_prcp_mm!$BL$2:$BL$182)</f>
        <v>1181</v>
      </c>
      <c r="M125" s="17" t="str">
        <f>_xlfn.XLOOKUP($A125,[10]co2_pcap_cons!$A$2:$A$193, [10]co2_pcap_cons!$HQ$2:$HQ$193)</f>
        <v>0.139</v>
      </c>
      <c r="N125" s="17" t="str">
        <f>_xlfn.XLOOKUP($A125,[11]primary_forest_area_ha!$A$2:$A$193, [11]primary_forest_area_ha!$AD$2:$AD$193)</f>
        <v>845000</v>
      </c>
      <c r="O125" s="17" t="str">
        <f>_xlfn.XLOOKUP($A125,[12]en_mam_thrd_no!$A$2:$A$195,[12]en_mam_thrd_no!$G$2:$G$195)</f>
        <v>10</v>
      </c>
      <c r="P125" s="17" t="str">
        <f>_xlfn.XLOOKUP($A125,[13]en_fsh_thrd_no!$A$2:$A$195,[13]en_fsh_thrd_no!$G$2:$G$195)</f>
        <v>37</v>
      </c>
      <c r="Q125" s="17" t="str">
        <f>_xlfn.XLOOKUP($A125,[14]en_bir_thrd_no!$A$2:$A$195,[14]en_bir_thrd_no!$G$2:$G$195)</f>
        <v>20</v>
      </c>
      <c r="R125" s="17" t="str">
        <f>_xlfn.XLOOKUP($A125,[15]en_hpt_thrd_no!$A$2:$A$195,[15]en_hpt_thrd_no!$G$2:$G$195)</f>
        <v>59</v>
      </c>
      <c r="S125" s="17" t="str">
        <f>_xlfn.XLOOKUP($A125,[16]er_lnd_ptld_zs!$A$2:$A$194, [16]er_lnd_ptld_zs!$O$2:$O$194)</f>
        <v>23.1</v>
      </c>
      <c r="T125" s="17" t="e">
        <f>_xlfn.XLOOKUP($A125,[17]er_mrn_ptmr_zs!$A$2:$A$155,[17]er_mrn_ptmr_zs!$O$2:$O$155)</f>
        <v>#N/A</v>
      </c>
    </row>
    <row r="126" spans="1:20" x14ac:dyDescent="0.2">
      <c r="A126" t="s">
        <v>372</v>
      </c>
      <c r="B126" t="s">
        <v>373</v>
      </c>
      <c r="C126" s="18" t="str">
        <f>_xlfn.XLOOKUP(A126,[1]Tabelle1!$A$2:$A$196,[1]Tabelle1!$C$2:$C$196)</f>
        <v>asia</v>
      </c>
      <c r="D126" t="s">
        <v>374</v>
      </c>
      <c r="E126" s="17" t="str">
        <f>_xlfn.XLOOKUP(A126,[2]lex!$A$2:$A$195, [2]lex!$HU$2:$HU$195)</f>
        <v>76.9</v>
      </c>
      <c r="F126" s="17" t="str">
        <f>_xlfn.XLOOKUP(A126,[3]gdp_pcap!$A$2:$A$194,[3]gdp_pcap!$HT$2:$HT$194 )</f>
        <v>35989.79488</v>
      </c>
      <c r="G126" s="17" t="str">
        <f>_xlfn.XLOOKUP($A126,[4]ag_lnd_totl_k2!$A$2:$A$195, [4]ag_lnd_totl_k2!$BM$2:$BM$195)</f>
        <v>328550</v>
      </c>
      <c r="H126" s="17" t="str">
        <f>_xlfn.XLOOKUP($A126,[5]industrial_water_withdrawal_per!$A$2:$A$179,[5]industrial_water_withdrawal_per!$BH$2:$BH$179 )</f>
        <v>29.902</v>
      </c>
      <c r="I126" s="17" t="str">
        <f>_xlfn.XLOOKUP($A126,[6]agricultural_water_withdrawal_p!$A$2:$A$180,[6]agricultural_water_withdrawal_p!$BH$2:$BH$180 )</f>
        <v>45.645</v>
      </c>
      <c r="J126" s="17" t="str">
        <f>_xlfn.XLOOKUP($A126,[7]total_water_withdrawal_billion_!$A$2:$A$180, [7]total_water_withdrawal_billion_!$BK$2:$BK$180  )</f>
        <v>5.488</v>
      </c>
      <c r="K126" s="17" t="str">
        <f>_xlfn.XLOOKUP($A126,[8]hydro_power_generation_total!$A$2:$A$119,[8]hydro_power_generation_total!$BA$2:$BA$119 )</f>
        <v>556500</v>
      </c>
      <c r="L126" s="17" t="str">
        <f>_xlfn.XLOOKUP($A126,[9]ag_lnd_prcp_mm!$A$2:$A$182, [9]ag_lnd_prcp_mm!$BL$2:$BL$182)</f>
        <v>2875</v>
      </c>
      <c r="M126" s="17" t="str">
        <f>_xlfn.XLOOKUP($A126,[10]co2_pcap_cons!$A$2:$A$193, [10]co2_pcap_cons!$HQ$2:$HQ$193)</f>
        <v>7.497</v>
      </c>
      <c r="N126" s="17" t="str">
        <f>_xlfn.XLOOKUP($A126,[11]primary_forest_area_ha!$A$2:$A$193, [11]primary_forest_area_ha!$AD$2:$AD$193)</f>
        <v>5041000</v>
      </c>
      <c r="O126" s="17" t="str">
        <f>_xlfn.XLOOKUP($A126,[12]en_mam_thrd_no!$A$2:$A$195,[12]en_mam_thrd_no!$G$2:$G$195)</f>
        <v>80</v>
      </c>
      <c r="P126" s="17" t="str">
        <f>_xlfn.XLOOKUP($A126,[13]en_fsh_thrd_no!$A$2:$A$195,[13]en_fsh_thrd_no!$G$2:$G$195)</f>
        <v>183</v>
      </c>
      <c r="Q126" s="17" t="str">
        <f>_xlfn.XLOOKUP($A126,[14]en_bir_thrd_no!$A$2:$A$195,[14]en_bir_thrd_no!$G$2:$G$195)</f>
        <v>67</v>
      </c>
      <c r="R126" s="17" t="str">
        <f>_xlfn.XLOOKUP($A126,[15]en_hpt_thrd_no!$A$2:$A$195,[15]en_hpt_thrd_no!$G$2:$G$195)</f>
        <v>1317</v>
      </c>
      <c r="S126" s="17" t="str">
        <f>_xlfn.XLOOKUP($A126,[16]er_lnd_ptld_zs!$A$2:$A$194, [16]er_lnd_ptld_zs!$O$2:$O$194)</f>
        <v>13.3</v>
      </c>
      <c r="T126" s="17" t="str">
        <f>_xlfn.XLOOKUP($A126,[17]er_mrn_ptmr_zs!$A$2:$A$155,[17]er_mrn_ptmr_zs!$O$2:$O$155)</f>
        <v>4.8</v>
      </c>
    </row>
    <row r="127" spans="1:20" x14ac:dyDescent="0.2">
      <c r="A127" t="s">
        <v>375</v>
      </c>
      <c r="B127" t="s">
        <v>376</v>
      </c>
      <c r="C127" s="18" t="str">
        <f>_xlfn.XLOOKUP(A127,[1]Tabelle1!$A$2:$A$196,[1]Tabelle1!$C$2:$C$196)</f>
        <v>africa</v>
      </c>
      <c r="D127" t="s">
        <v>377</v>
      </c>
      <c r="E127" s="17" t="str">
        <f>_xlfn.XLOOKUP(A127,[2]lex!$A$2:$A$195, [2]lex!$HU$2:$HU$195)</f>
        <v>66.79</v>
      </c>
      <c r="F127" s="17" t="str">
        <f>_xlfn.XLOOKUP(A127,[3]gdp_pcap!$A$2:$A$194,[3]gdp_pcap!$HT$2:$HT$194 )</f>
        <v>10740.46072</v>
      </c>
      <c r="G127" s="17" t="str">
        <f>_xlfn.XLOOKUP($A127,[4]ag_lnd_totl_k2!$A$2:$A$195, [4]ag_lnd_totl_k2!$BM$2:$BM$195)</f>
        <v>823290</v>
      </c>
      <c r="H127" s="17" t="str">
        <f>_xlfn.XLOOKUP($A127,[5]industrial_water_withdrawal_per!$A$2:$A$179,[5]industrial_water_withdrawal_per!$BH$2:$BH$179 )</f>
        <v>6.6186</v>
      </c>
      <c r="I127" s="17" t="str">
        <f>_xlfn.XLOOKUP($A127,[6]agricultural_water_withdrawal_p!$A$2:$A$180,[6]agricultural_water_withdrawal_p!$BH$2:$BH$180 )</f>
        <v>71.485</v>
      </c>
      <c r="J127" s="17" t="str">
        <f>_xlfn.XLOOKUP($A127,[7]total_water_withdrawal_billion_!$A$2:$A$180, [7]total_water_withdrawal_billion_!$BK$2:$BK$180  )</f>
        <v>0.28118</v>
      </c>
      <c r="K127" s="17" t="str">
        <f>_xlfn.XLOOKUP($A127,[8]hydro_power_generation_total!$A$2:$A$119,[8]hydro_power_generation_total!$BA$2:$BA$119 )</f>
        <v>108700</v>
      </c>
      <c r="L127" s="17" t="str">
        <f>_xlfn.XLOOKUP($A127,[9]ag_lnd_prcp_mm!$A$2:$A$182, [9]ag_lnd_prcp_mm!$BL$2:$BL$182)</f>
        <v>285</v>
      </c>
      <c r="M127" s="17" t="str">
        <f>_xlfn.XLOOKUP($A127,[10]co2_pcap_cons!$A$2:$A$193, [10]co2_pcap_cons!$HQ$2:$HQ$193)</f>
        <v>3.966</v>
      </c>
      <c r="N127" s="17">
        <f>_xlfn.XLOOKUP($A127,[11]primary_forest_area_ha!$A$2:$A$193, [11]primary_forest_area_ha!$AD$2:$AD$193)</f>
        <v>0</v>
      </c>
      <c r="O127" s="17" t="str">
        <f>_xlfn.XLOOKUP($A127,[12]en_mam_thrd_no!$A$2:$A$195,[12]en_mam_thrd_no!$G$2:$G$195)</f>
        <v>15</v>
      </c>
      <c r="P127" s="17" t="str">
        <f>_xlfn.XLOOKUP($A127,[13]en_fsh_thrd_no!$A$2:$A$195,[13]en_fsh_thrd_no!$G$2:$G$195)</f>
        <v>47</v>
      </c>
      <c r="Q127" s="17" t="str">
        <f>_xlfn.XLOOKUP($A127,[14]en_bir_thrd_no!$A$2:$A$195,[14]en_bir_thrd_no!$G$2:$G$195)</f>
        <v>33</v>
      </c>
      <c r="R127" s="17" t="str">
        <f>_xlfn.XLOOKUP($A127,[15]en_hpt_thrd_no!$A$2:$A$195,[15]en_hpt_thrd_no!$G$2:$G$195)</f>
        <v>49</v>
      </c>
      <c r="S127" s="17" t="str">
        <f>_xlfn.XLOOKUP($A127,[16]er_lnd_ptld_zs!$A$2:$A$194, [16]er_lnd_ptld_zs!$O$2:$O$194)</f>
        <v>39.9</v>
      </c>
      <c r="T127" s="17" t="str">
        <f>_xlfn.XLOOKUP($A127,[17]er_mrn_ptmr_zs!$A$2:$A$155,[17]er_mrn_ptmr_zs!$O$2:$O$155)</f>
        <v>1.7</v>
      </c>
    </row>
    <row r="128" spans="1:20" x14ac:dyDescent="0.2">
      <c r="A128" t="s">
        <v>378</v>
      </c>
      <c r="B128" t="s">
        <v>379</v>
      </c>
      <c r="C128" s="18" t="str">
        <f>_xlfn.XLOOKUP(A128,[1]Tabelle1!$A$2:$A$196,[1]Tabelle1!$C$2:$C$196)</f>
        <v>africa</v>
      </c>
      <c r="D128" t="s">
        <v>380</v>
      </c>
      <c r="E128" s="17" t="str">
        <f>_xlfn.XLOOKUP(A128,[2]lex!$A$2:$A$195, [2]lex!$HU$2:$HU$195)</f>
        <v>59.88</v>
      </c>
      <c r="F128" s="17" t="str">
        <f>_xlfn.XLOOKUP(A128,[3]gdp_pcap!$A$2:$A$194,[3]gdp_pcap!$HT$2:$HT$194 )</f>
        <v>1870.05045</v>
      </c>
      <c r="G128" s="17" t="str">
        <f>_xlfn.XLOOKUP($A128,[4]ag_lnd_totl_k2!$A$2:$A$195, [4]ag_lnd_totl_k2!$BM$2:$BM$195)</f>
        <v>1266700</v>
      </c>
      <c r="H128" s="17" t="str">
        <f>_xlfn.XLOOKUP($A128,[5]industrial_water_withdrawal_per!$A$2:$A$179,[5]industrial_water_withdrawal_per!$BH$2:$BH$179 )</f>
        <v>1.4963</v>
      </c>
      <c r="I128" s="17" t="str">
        <f>_xlfn.XLOOKUP($A128,[6]agricultural_water_withdrawal_p!$A$2:$A$180,[6]agricultural_water_withdrawal_p!$BH$2:$BH$180 )</f>
        <v>91.023</v>
      </c>
      <c r="J128" s="17" t="str">
        <f>_xlfn.XLOOKUP($A128,[7]total_water_withdrawal_billion_!$A$2:$A$180, [7]total_water_withdrawal_billion_!$BK$2:$BK$180  )</f>
        <v>2.5833</v>
      </c>
      <c r="K128" s="17" t="e">
        <f>_xlfn.XLOOKUP($A128,[8]hydro_power_generation_total!$A$2:$A$119,[8]hydro_power_generation_total!$BA$2:$BA$119 )</f>
        <v>#N/A</v>
      </c>
      <c r="L128" s="17" t="str">
        <f>_xlfn.XLOOKUP($A128,[9]ag_lnd_prcp_mm!$A$2:$A$182, [9]ag_lnd_prcp_mm!$BL$2:$BL$182)</f>
        <v>151</v>
      </c>
      <c r="M128" s="17" t="str">
        <f>_xlfn.XLOOKUP($A128,[10]co2_pcap_cons!$A$2:$A$193, [10]co2_pcap_cons!$HQ$2:$HQ$193)</f>
        <v>0.113</v>
      </c>
      <c r="N128" s="17" t="str">
        <f>_xlfn.XLOOKUP($A128,[11]primary_forest_area_ha!$A$2:$A$193, [11]primary_forest_area_ha!$AD$2:$AD$193)</f>
        <v>220000</v>
      </c>
      <c r="O128" s="17" t="str">
        <f>_xlfn.XLOOKUP($A128,[12]en_mam_thrd_no!$A$2:$A$195,[12]en_mam_thrd_no!$G$2:$G$195)</f>
        <v>14</v>
      </c>
      <c r="P128" s="17" t="str">
        <f>_xlfn.XLOOKUP($A128,[13]en_fsh_thrd_no!$A$2:$A$195,[13]en_fsh_thrd_no!$G$2:$G$195)</f>
        <v>3</v>
      </c>
      <c r="Q128" s="17" t="str">
        <f>_xlfn.XLOOKUP($A128,[14]en_bir_thrd_no!$A$2:$A$195,[14]en_bir_thrd_no!$G$2:$G$195)</f>
        <v>16</v>
      </c>
      <c r="R128" s="17" t="str">
        <f>_xlfn.XLOOKUP($A128,[15]en_hpt_thrd_no!$A$2:$A$195,[15]en_hpt_thrd_no!$G$2:$G$195)</f>
        <v>4</v>
      </c>
      <c r="S128" s="17" t="str">
        <f>_xlfn.XLOOKUP($A128,[16]er_lnd_ptld_zs!$A$2:$A$194, [16]er_lnd_ptld_zs!$O$2:$O$194)</f>
        <v>21</v>
      </c>
      <c r="T128" s="17" t="e">
        <f>_xlfn.XLOOKUP($A128,[17]er_mrn_ptmr_zs!$A$2:$A$155,[17]er_mrn_ptmr_zs!$O$2:$O$155)</f>
        <v>#N/A</v>
      </c>
    </row>
    <row r="129" spans="1:20" x14ac:dyDescent="0.2">
      <c r="A129" t="s">
        <v>381</v>
      </c>
      <c r="B129" t="s">
        <v>382</v>
      </c>
      <c r="C129" s="18" t="str">
        <f>_xlfn.XLOOKUP(A129,[1]Tabelle1!$A$2:$A$196,[1]Tabelle1!$C$2:$C$196)</f>
        <v>africa</v>
      </c>
      <c r="D129" t="s">
        <v>383</v>
      </c>
      <c r="E129" s="17" t="str">
        <f>_xlfn.XLOOKUP(A129,[2]lex!$A$2:$A$195, [2]lex!$HU$2:$HU$195)</f>
        <v>65.09</v>
      </c>
      <c r="F129" s="17" t="str">
        <f>_xlfn.XLOOKUP(A129,[3]gdp_pcap!$A$2:$A$194,[3]gdp_pcap!$HT$2:$HT$194 )</f>
        <v>5848.08157</v>
      </c>
      <c r="G129" s="17" t="str">
        <f>_xlfn.XLOOKUP($A129,[4]ag_lnd_totl_k2!$A$2:$A$195, [4]ag_lnd_totl_k2!$BM$2:$BM$195)</f>
        <v>910770</v>
      </c>
      <c r="H129" s="17" t="str">
        <f>_xlfn.XLOOKUP($A129,[5]industrial_water_withdrawal_per!$A$2:$A$179,[5]industrial_water_withdrawal_per!$BH$2:$BH$179 )</f>
        <v>15.752</v>
      </c>
      <c r="I129" s="17" t="str">
        <f>_xlfn.XLOOKUP($A129,[6]agricultural_water_withdrawal_p!$A$2:$A$180,[6]agricultural_water_withdrawal_p!$BH$2:$BH$180 )</f>
        <v>44.168</v>
      </c>
      <c r="J129" s="17" t="str">
        <f>_xlfn.XLOOKUP($A129,[7]total_water_withdrawal_billion_!$A$2:$A$180, [7]total_water_withdrawal_billion_!$BK$2:$BK$180  )</f>
        <v>12.475</v>
      </c>
      <c r="K129" s="17" t="str">
        <f>_xlfn.XLOOKUP($A129,[8]hydro_power_generation_total!$A$2:$A$119,[8]hydro_power_generation_total!$BA$2:$BA$119 )</f>
        <v>548100</v>
      </c>
      <c r="L129" s="17" t="str">
        <f>_xlfn.XLOOKUP($A129,[9]ag_lnd_prcp_mm!$A$2:$A$182, [9]ag_lnd_prcp_mm!$BL$2:$BL$182)</f>
        <v>1150</v>
      </c>
      <c r="M129" s="17" t="str">
        <f>_xlfn.XLOOKUP($A129,[10]co2_pcap_cons!$A$2:$A$193, [10]co2_pcap_cons!$HQ$2:$HQ$193)</f>
        <v>0.692</v>
      </c>
      <c r="N129" s="17" t="str">
        <f>_xlfn.XLOOKUP($A129,[11]primary_forest_area_ha!$A$2:$A$193, [11]primary_forest_area_ha!$AD$2:$AD$193)</f>
        <v>20000</v>
      </c>
      <c r="O129" s="17" t="str">
        <f>_xlfn.XLOOKUP($A129,[12]en_mam_thrd_no!$A$2:$A$195,[12]en_mam_thrd_no!$G$2:$G$195)</f>
        <v>35</v>
      </c>
      <c r="P129" s="17" t="str">
        <f>_xlfn.XLOOKUP($A129,[13]en_fsh_thrd_no!$A$2:$A$195,[13]en_fsh_thrd_no!$G$2:$G$195)</f>
        <v>102</v>
      </c>
      <c r="Q129" s="17" t="str">
        <f>_xlfn.XLOOKUP($A129,[14]en_bir_thrd_no!$A$2:$A$195,[14]en_bir_thrd_no!$G$2:$G$195)</f>
        <v>23</v>
      </c>
      <c r="R129" s="17" t="str">
        <f>_xlfn.XLOOKUP($A129,[15]en_hpt_thrd_no!$A$2:$A$195,[15]en_hpt_thrd_no!$G$2:$G$195)</f>
        <v>256</v>
      </c>
      <c r="S129" s="17" t="str">
        <f>_xlfn.XLOOKUP($A129,[16]er_lnd_ptld_zs!$A$2:$A$194, [16]er_lnd_ptld_zs!$O$2:$O$194)</f>
        <v>13.9</v>
      </c>
      <c r="T129" s="17">
        <f>_xlfn.XLOOKUP($A129,[17]er_mrn_ptmr_zs!$A$2:$A$155,[17]er_mrn_ptmr_zs!$O$2:$O$155)</f>
        <v>0</v>
      </c>
    </row>
    <row r="130" spans="1:20" x14ac:dyDescent="0.2">
      <c r="A130" t="s">
        <v>384</v>
      </c>
      <c r="B130" t="s">
        <v>385</v>
      </c>
      <c r="C130" s="18" t="str">
        <f>_xlfn.XLOOKUP(A130,[1]Tabelle1!$A$2:$A$196,[1]Tabelle1!$C$2:$C$196)</f>
        <v>americas</v>
      </c>
      <c r="D130" t="s">
        <v>386</v>
      </c>
      <c r="E130" s="17" t="str">
        <f>_xlfn.XLOOKUP(A130,[2]lex!$A$2:$A$195, [2]lex!$HU$2:$HU$195)</f>
        <v>77.21</v>
      </c>
      <c r="F130" s="17" t="str">
        <f>_xlfn.XLOOKUP(A130,[3]gdp_pcap!$A$2:$A$194,[3]gdp_pcap!$HT$2:$HT$194 )</f>
        <v>8023.40633</v>
      </c>
      <c r="G130" s="17" t="str">
        <f>_xlfn.XLOOKUP($A130,[4]ag_lnd_totl_k2!$A$2:$A$195, [4]ag_lnd_totl_k2!$BM$2:$BM$195)</f>
        <v>120340</v>
      </c>
      <c r="H130" s="17" t="str">
        <f>_xlfn.XLOOKUP($A130,[5]industrial_water_withdrawal_per!$A$2:$A$179,[5]industrial_water_withdrawal_per!$BH$2:$BH$179 )</f>
        <v>0.04867</v>
      </c>
      <c r="I130" s="17" t="str">
        <f>_xlfn.XLOOKUP($A130,[6]agricultural_water_withdrawal_p!$A$2:$A$180,[6]agricultural_water_withdrawal_p!$BH$2:$BH$180 )</f>
        <v>85.045</v>
      </c>
      <c r="J130" s="17" t="str">
        <f>_xlfn.XLOOKUP($A130,[7]total_water_withdrawal_billion_!$A$2:$A$180, [7]total_water_withdrawal_billion_!$BK$2:$BK$180  )</f>
        <v>1.2746</v>
      </c>
      <c r="K130" s="17" t="str">
        <f>_xlfn.XLOOKUP($A130,[8]hydro_power_generation_total!$A$2:$A$119,[8]hydro_power_generation_total!$BA$2:$BA$119 )</f>
        <v>43340</v>
      </c>
      <c r="L130" s="17" t="str">
        <f>_xlfn.XLOOKUP($A130,[9]ag_lnd_prcp_mm!$A$2:$A$182, [9]ag_lnd_prcp_mm!$BL$2:$BL$182)</f>
        <v>2280</v>
      </c>
      <c r="M130" s="17" t="str">
        <f>_xlfn.XLOOKUP($A130,[10]co2_pcap_cons!$A$2:$A$193, [10]co2_pcap_cons!$HQ$2:$HQ$193)</f>
        <v>0.944</v>
      </c>
      <c r="N130" s="17" t="str">
        <f>_xlfn.XLOOKUP($A130,[11]primary_forest_area_ha!$A$2:$A$193, [11]primary_forest_area_ha!$AD$2:$AD$193)</f>
        <v>1234000</v>
      </c>
      <c r="O130" s="17" t="str">
        <f>_xlfn.XLOOKUP($A130,[12]en_mam_thrd_no!$A$2:$A$195,[12]en_mam_thrd_no!$G$2:$G$195)</f>
        <v>9</v>
      </c>
      <c r="P130" s="17" t="str">
        <f>_xlfn.XLOOKUP($A130,[13]en_fsh_thrd_no!$A$2:$A$195,[13]en_fsh_thrd_no!$G$2:$G$195)</f>
        <v>97</v>
      </c>
      <c r="Q130" s="17" t="str">
        <f>_xlfn.XLOOKUP($A130,[14]en_bir_thrd_no!$A$2:$A$195,[14]en_bir_thrd_no!$G$2:$G$195)</f>
        <v>19</v>
      </c>
      <c r="R130" s="17" t="str">
        <f>_xlfn.XLOOKUP($A130,[15]en_hpt_thrd_no!$A$2:$A$195,[15]en_hpt_thrd_no!$G$2:$G$195)</f>
        <v>119</v>
      </c>
      <c r="S130" s="17" t="str">
        <f>_xlfn.XLOOKUP($A130,[16]er_lnd_ptld_zs!$A$2:$A$194, [16]er_lnd_ptld_zs!$O$2:$O$194)</f>
        <v>21.2</v>
      </c>
      <c r="T130" s="17" t="str">
        <f>_xlfn.XLOOKUP($A130,[17]er_mrn_ptmr_zs!$A$2:$A$155,[17]er_mrn_ptmr_zs!$O$2:$O$155)</f>
        <v>3.6</v>
      </c>
    </row>
    <row r="131" spans="1:20" x14ac:dyDescent="0.2">
      <c r="A131" t="s">
        <v>387</v>
      </c>
      <c r="B131" t="s">
        <v>388</v>
      </c>
      <c r="C131" s="18" t="str">
        <f>_xlfn.XLOOKUP(A131,[1]Tabelle1!$A$2:$A$196,[1]Tabelle1!$C$2:$C$196)</f>
        <v>europe</v>
      </c>
      <c r="D131" t="s">
        <v>389</v>
      </c>
      <c r="E131" s="17" t="str">
        <f>_xlfn.XLOOKUP(A131,[2]lex!$A$2:$A$195, [2]lex!$HU$2:$HU$195)</f>
        <v>82.4</v>
      </c>
      <c r="F131" s="17" t="str">
        <f>_xlfn.XLOOKUP(A131,[3]gdp_pcap!$A$2:$A$194,[3]gdp_pcap!$HT$2:$HT$194 )</f>
        <v>73384.1408</v>
      </c>
      <c r="G131" s="17" t="str">
        <f>_xlfn.XLOOKUP($A131,[4]ag_lnd_totl_k2!$A$2:$A$195, [4]ag_lnd_totl_k2!$BM$2:$BM$195)</f>
        <v>33670</v>
      </c>
      <c r="H131" s="17" t="str">
        <f>_xlfn.XLOOKUP($A131,[5]industrial_water_withdrawal_per!$A$2:$A$179,[5]industrial_water_withdrawal_per!$BH$2:$BH$179 )</f>
        <v>70.249</v>
      </c>
      <c r="I131" s="17" t="str">
        <f>_xlfn.XLOOKUP($A131,[6]agricultural_water_withdrawal_p!$A$2:$A$180,[6]agricultural_water_withdrawal_p!$BH$2:$BH$180 )</f>
        <v>3.2193</v>
      </c>
      <c r="J131" s="17" t="str">
        <f>_xlfn.XLOOKUP($A131,[7]total_water_withdrawal_billion_!$A$2:$A$180, [7]total_water_withdrawal_billion_!$BK$2:$BK$180  )</f>
        <v>8.2343</v>
      </c>
      <c r="K131" s="17" t="str">
        <f>_xlfn.XLOOKUP($A131,[8]hydro_power_generation_total!$A$2:$A$119,[8]hydro_power_generation_total!$BA$2:$BA$119 )</f>
        <v>9028</v>
      </c>
      <c r="L131" s="17" t="str">
        <f>_xlfn.XLOOKUP($A131,[9]ag_lnd_prcp_mm!$A$2:$A$182, [9]ag_lnd_prcp_mm!$BL$2:$BL$182)</f>
        <v>778</v>
      </c>
      <c r="M131" s="17" t="str">
        <f>_xlfn.XLOOKUP($A131,[10]co2_pcap_cons!$A$2:$A$193, [10]co2_pcap_cons!$HQ$2:$HQ$193)</f>
        <v>8.769</v>
      </c>
      <c r="N131" s="17">
        <f>_xlfn.XLOOKUP($A131,[11]primary_forest_area_ha!$A$2:$A$193, [11]primary_forest_area_ha!$AD$2:$AD$193)</f>
        <v>0</v>
      </c>
      <c r="O131" s="17" t="str">
        <f>_xlfn.XLOOKUP($A131,[12]en_mam_thrd_no!$A$2:$A$195,[12]en_mam_thrd_no!$G$2:$G$195)</f>
        <v>4</v>
      </c>
      <c r="P131" s="17" t="str">
        <f>_xlfn.XLOOKUP($A131,[13]en_fsh_thrd_no!$A$2:$A$195,[13]en_fsh_thrd_no!$G$2:$G$195)</f>
        <v>22</v>
      </c>
      <c r="Q131" s="17" t="str">
        <f>_xlfn.XLOOKUP($A131,[14]en_bir_thrd_no!$A$2:$A$195,[14]en_bir_thrd_no!$G$2:$G$195)</f>
        <v>10</v>
      </c>
      <c r="R131" s="17" t="str">
        <f>_xlfn.XLOOKUP($A131,[15]en_hpt_thrd_no!$A$2:$A$195,[15]en_hpt_thrd_no!$G$2:$G$195)</f>
        <v>3</v>
      </c>
      <c r="S131" s="17" t="str">
        <f>_xlfn.XLOOKUP($A131,[16]er_lnd_ptld_zs!$A$2:$A$194, [16]er_lnd_ptld_zs!$O$2:$O$194)</f>
        <v>22.9</v>
      </c>
      <c r="T131" s="17" t="str">
        <f>_xlfn.XLOOKUP($A131,[17]er_mrn_ptmr_zs!$A$2:$A$155,[17]er_mrn_ptmr_zs!$O$2:$O$155)</f>
        <v>33.5</v>
      </c>
    </row>
    <row r="132" spans="1:20" x14ac:dyDescent="0.2">
      <c r="A132" t="s">
        <v>390</v>
      </c>
      <c r="B132" t="s">
        <v>391</v>
      </c>
      <c r="C132" s="18" t="str">
        <f>_xlfn.XLOOKUP(A132,[1]Tabelle1!$A$2:$A$196,[1]Tabelle1!$C$2:$C$196)</f>
        <v>europe</v>
      </c>
      <c r="D132" t="s">
        <v>392</v>
      </c>
      <c r="E132" s="17" t="str">
        <f>_xlfn.XLOOKUP(A132,[2]lex!$A$2:$A$195, [2]lex!$HU$2:$HU$195)</f>
        <v>83.5</v>
      </c>
      <c r="F132" s="17" t="str">
        <f>_xlfn.XLOOKUP(A132,[3]gdp_pcap!$A$2:$A$194,[3]gdp_pcap!$HT$2:$HT$194 )</f>
        <v>94895.85433</v>
      </c>
      <c r="G132" s="17" t="str">
        <f>_xlfn.XLOOKUP($A132,[4]ag_lnd_totl_k2!$A$2:$A$195, [4]ag_lnd_totl_k2!$BM$2:$BM$195)</f>
        <v>364270</v>
      </c>
      <c r="H132" s="17" t="str">
        <f>_xlfn.XLOOKUP($A132,[5]industrial_water_withdrawal_per!$A$2:$A$179,[5]industrial_water_withdrawal_per!$BH$2:$BH$179 )</f>
        <v>39.824</v>
      </c>
      <c r="I132" s="17" t="str">
        <f>_xlfn.XLOOKUP($A132,[6]agricultural_water_withdrawal_p!$A$2:$A$180,[6]agricultural_water_withdrawal_p!$BH$2:$BH$180 )</f>
        <v>31.417</v>
      </c>
      <c r="J132" s="17" t="str">
        <f>_xlfn.XLOOKUP($A132,[7]total_water_withdrawal_billion_!$A$2:$A$180, [7]total_water_withdrawal_billion_!$BK$2:$BK$180  )</f>
        <v>2.6893</v>
      </c>
      <c r="K132" s="17" t="str">
        <f>_xlfn.XLOOKUP($A132,[8]hydro_power_generation_total!$A$2:$A$119,[8]hydro_power_generation_total!$BA$2:$BA$119 )</f>
        <v>10110000</v>
      </c>
      <c r="L132" s="17" t="str">
        <f>_xlfn.XLOOKUP($A132,[9]ag_lnd_prcp_mm!$A$2:$A$182, [9]ag_lnd_prcp_mm!$BL$2:$BL$182)</f>
        <v>1414</v>
      </c>
      <c r="M132" s="17" t="str">
        <f>_xlfn.XLOOKUP($A132,[10]co2_pcap_cons!$A$2:$A$193, [10]co2_pcap_cons!$HQ$2:$HQ$193)</f>
        <v>8.716</v>
      </c>
      <c r="N132" s="17" t="str">
        <f>_xlfn.XLOOKUP($A132,[11]primary_forest_area_ha!$A$2:$A$193, [11]primary_forest_area_ha!$AD$2:$AD$193)</f>
        <v>160000</v>
      </c>
      <c r="O132" s="17" t="str">
        <f>_xlfn.XLOOKUP($A132,[12]en_mam_thrd_no!$A$2:$A$195,[12]en_mam_thrd_no!$G$2:$G$195)</f>
        <v>8</v>
      </c>
      <c r="P132" s="17" t="str">
        <f>_xlfn.XLOOKUP($A132,[13]en_fsh_thrd_no!$A$2:$A$195,[13]en_fsh_thrd_no!$G$2:$G$195)</f>
        <v>32</v>
      </c>
      <c r="Q132" s="17" t="str">
        <f>_xlfn.XLOOKUP($A132,[14]en_bir_thrd_no!$A$2:$A$195,[14]en_bir_thrd_no!$G$2:$G$195)</f>
        <v>11</v>
      </c>
      <c r="R132" s="17" t="str">
        <f>_xlfn.XLOOKUP($A132,[15]en_hpt_thrd_no!$A$2:$A$195,[15]en_hpt_thrd_no!$G$2:$G$195)</f>
        <v>20</v>
      </c>
      <c r="S132" s="17" t="str">
        <f>_xlfn.XLOOKUP($A132,[16]er_lnd_ptld_zs!$A$2:$A$194, [16]er_lnd_ptld_zs!$O$2:$O$194)</f>
        <v>17.8</v>
      </c>
      <c r="T132" s="17" t="str">
        <f>_xlfn.XLOOKUP($A132,[17]er_mrn_ptmr_zs!$A$2:$A$155,[17]er_mrn_ptmr_zs!$O$2:$O$155)</f>
        <v>1</v>
      </c>
    </row>
    <row r="133" spans="1:20" x14ac:dyDescent="0.2">
      <c r="A133" t="s">
        <v>393</v>
      </c>
      <c r="B133" t="s">
        <v>394</v>
      </c>
      <c r="C133" s="18" t="str">
        <f>_xlfn.XLOOKUP(A133,[1]Tabelle1!$A$2:$A$196,[1]Tabelle1!$C$2:$C$196)</f>
        <v>asia</v>
      </c>
      <c r="D133" t="s">
        <v>395</v>
      </c>
      <c r="E133" s="17" t="str">
        <f>_xlfn.XLOOKUP(A133,[2]lex!$A$2:$A$195, [2]lex!$HU$2:$HU$195)</f>
        <v>74.34</v>
      </c>
      <c r="F133" s="17" t="str">
        <f>_xlfn.XLOOKUP(A133,[3]gdp_pcap!$A$2:$A$194,[3]gdp_pcap!$HT$2:$HT$194 )</f>
        <v>5329.63699</v>
      </c>
      <c r="G133" s="17" t="str">
        <f>_xlfn.XLOOKUP($A133,[4]ag_lnd_totl_k2!$A$2:$A$195, [4]ag_lnd_totl_k2!$BM$2:$BM$195)</f>
        <v>143350</v>
      </c>
      <c r="H133" s="17" t="str">
        <f>_xlfn.XLOOKUP($A133,[5]industrial_water_withdrawal_per!$A$2:$A$179,[5]industrial_water_withdrawal_per!$BH$2:$BH$179 )</f>
        <v>0.31062</v>
      </c>
      <c r="I133" s="17" t="str">
        <f>_xlfn.XLOOKUP($A133,[6]agricultural_water_withdrawal_p!$A$2:$A$180,[6]agricultural_water_withdrawal_p!$BH$2:$BH$180 )</f>
        <v>98.135</v>
      </c>
      <c r="J133" s="17" t="str">
        <f>_xlfn.XLOOKUP($A133,[7]total_water_withdrawal_billion_!$A$2:$A$180, [7]total_water_withdrawal_billion_!$BK$2:$BK$180  )</f>
        <v>9.4971</v>
      </c>
      <c r="K133" s="17" t="str">
        <f>_xlfn.XLOOKUP($A133,[8]hydro_power_generation_total!$A$2:$A$119,[8]hydro_power_generation_total!$BA$2:$BA$119 )</f>
        <v>275500</v>
      </c>
      <c r="L133" s="17" t="str">
        <f>_xlfn.XLOOKUP($A133,[9]ag_lnd_prcp_mm!$A$2:$A$182, [9]ag_lnd_prcp_mm!$BL$2:$BL$182)</f>
        <v>1500</v>
      </c>
      <c r="M133" s="17" t="str">
        <f>_xlfn.XLOOKUP($A133,[10]co2_pcap_cons!$A$2:$A$193, [10]co2_pcap_cons!$HQ$2:$HQ$193)</f>
        <v>0.922</v>
      </c>
      <c r="N133" s="17" t="str">
        <f>_xlfn.XLOOKUP($A133,[11]primary_forest_area_ha!$A$2:$A$193, [11]primary_forest_area_ha!$AD$2:$AD$193)</f>
        <v>526000</v>
      </c>
      <c r="O133" s="17" t="str">
        <f>_xlfn.XLOOKUP($A133,[12]en_mam_thrd_no!$A$2:$A$195,[12]en_mam_thrd_no!$G$2:$G$195)</f>
        <v>30</v>
      </c>
      <c r="P133" s="17" t="str">
        <f>_xlfn.XLOOKUP($A133,[13]en_fsh_thrd_no!$A$2:$A$195,[13]en_fsh_thrd_no!$G$2:$G$195)</f>
        <v>11</v>
      </c>
      <c r="Q133" s="17" t="str">
        <f>_xlfn.XLOOKUP($A133,[14]en_bir_thrd_no!$A$2:$A$195,[14]en_bir_thrd_no!$G$2:$G$195)</f>
        <v>38</v>
      </c>
      <c r="R133" s="17" t="str">
        <f>_xlfn.XLOOKUP($A133,[15]en_hpt_thrd_no!$A$2:$A$195,[15]en_hpt_thrd_no!$G$2:$G$195)</f>
        <v>24</v>
      </c>
      <c r="S133" s="17" t="str">
        <f>_xlfn.XLOOKUP($A133,[16]er_lnd_ptld_zs!$A$2:$A$194, [16]er_lnd_ptld_zs!$O$2:$O$194)</f>
        <v>23.6</v>
      </c>
      <c r="T133" s="17" t="e">
        <f>_xlfn.XLOOKUP($A133,[17]er_mrn_ptmr_zs!$A$2:$A$155,[17]er_mrn_ptmr_zs!$O$2:$O$155)</f>
        <v>#N/A</v>
      </c>
    </row>
    <row r="134" spans="1:20" x14ac:dyDescent="0.2">
      <c r="A134" t="s">
        <v>396</v>
      </c>
      <c r="B134" t="s">
        <v>397</v>
      </c>
      <c r="C134" s="18" t="str">
        <f>_xlfn.XLOOKUP(A134,[1]Tabelle1!$A$2:$A$196,[1]Tabelle1!$C$2:$C$196)</f>
        <v>asia</v>
      </c>
      <c r="D134" t="s">
        <v>398</v>
      </c>
      <c r="E134" s="17" t="str">
        <f>_xlfn.XLOOKUP(A134,[2]lex!$A$2:$A$195, [2]lex!$HU$2:$HU$195)</f>
        <v>59.48</v>
      </c>
      <c r="F134" s="17" t="str">
        <f>_xlfn.XLOOKUP(A134,[3]gdp_pcap!$A$2:$A$194,[3]gdp_pcap!$HT$2:$HT$194 )</f>
        <v>12938.44098</v>
      </c>
      <c r="G134" s="17" t="str">
        <f>_xlfn.XLOOKUP($A134,[4]ag_lnd_totl_k2!$A$2:$A$195, [4]ag_lnd_totl_k2!$BM$2:$BM$195)</f>
        <v>20</v>
      </c>
      <c r="H134" s="17" t="e">
        <f>_xlfn.XLOOKUP($A134,[5]industrial_water_withdrawal_per!$A$2:$A$179,[5]industrial_water_withdrawal_per!$BH$2:$BH$179 )</f>
        <v>#N/A</v>
      </c>
      <c r="I134" s="17" t="e">
        <f>_xlfn.XLOOKUP($A134,[6]agricultural_water_withdrawal_p!$A$2:$A$180,[6]agricultural_water_withdrawal_p!$BH$2:$BH$180 )</f>
        <v>#N/A</v>
      </c>
      <c r="J134" s="17" t="e">
        <f>_xlfn.XLOOKUP($A134,[7]total_water_withdrawal_billion_!$A$2:$A$180, [7]total_water_withdrawal_billion_!$BK$2:$BK$180  )</f>
        <v>#N/A</v>
      </c>
      <c r="K134" s="17" t="e">
        <f>_xlfn.XLOOKUP($A134,[8]hydro_power_generation_total!$A$2:$A$119,[8]hydro_power_generation_total!$BA$2:$BA$119 )</f>
        <v>#N/A</v>
      </c>
      <c r="L134" s="17" t="e">
        <f>_xlfn.XLOOKUP($A134,[9]ag_lnd_prcp_mm!$A$2:$A$182, [9]ag_lnd_prcp_mm!$BL$2:$BL$182)</f>
        <v>#N/A</v>
      </c>
      <c r="M134" s="17" t="str">
        <f>_xlfn.XLOOKUP($A134,[10]co2_pcap_cons!$A$2:$A$193, [10]co2_pcap_cons!$HQ$2:$HQ$193)</f>
        <v>5.093</v>
      </c>
      <c r="N134" s="17">
        <f>_xlfn.XLOOKUP($A134,[11]primary_forest_area_ha!$A$2:$A$193, [11]primary_forest_area_ha!$AD$2:$AD$193)</f>
        <v>0</v>
      </c>
      <c r="O134" s="17" t="str">
        <f>_xlfn.XLOOKUP($A134,[12]en_mam_thrd_no!$A$2:$A$195,[12]en_mam_thrd_no!$G$2:$G$195)</f>
        <v>2</v>
      </c>
      <c r="P134" s="17" t="str">
        <f>_xlfn.XLOOKUP($A134,[13]en_fsh_thrd_no!$A$2:$A$195,[13]en_fsh_thrd_no!$G$2:$G$195)</f>
        <v>20</v>
      </c>
      <c r="Q134" s="17" t="str">
        <f>_xlfn.XLOOKUP($A134,[14]en_bir_thrd_no!$A$2:$A$195,[14]en_bir_thrd_no!$G$2:$G$195)</f>
        <v>3</v>
      </c>
      <c r="R134" s="17">
        <f>_xlfn.XLOOKUP($A134,[15]en_hpt_thrd_no!$A$2:$A$195,[15]en_hpt_thrd_no!$G$2:$G$195)</f>
        <v>0</v>
      </c>
      <c r="S134" s="17">
        <f>_xlfn.XLOOKUP($A134,[16]er_lnd_ptld_zs!$A$2:$A$194, [16]er_lnd_ptld_zs!$O$2:$O$194)</f>
        <v>0</v>
      </c>
      <c r="T134" s="17">
        <f>_xlfn.XLOOKUP($A134,[17]er_mrn_ptmr_zs!$A$2:$A$155,[17]er_mrn_ptmr_zs!$O$2:$O$155)</f>
        <v>0</v>
      </c>
    </row>
    <row r="135" spans="1:20" x14ac:dyDescent="0.2">
      <c r="A135" t="s">
        <v>399</v>
      </c>
      <c r="B135" t="s">
        <v>400</v>
      </c>
      <c r="C135" s="18" t="str">
        <f>_xlfn.XLOOKUP(A135,[1]Tabelle1!$A$2:$A$196,[1]Tabelle1!$C$2:$C$196)</f>
        <v>asia</v>
      </c>
      <c r="D135" t="s">
        <v>401</v>
      </c>
      <c r="E135" s="17" t="str">
        <f>_xlfn.XLOOKUP(A135,[2]lex!$A$2:$A$195, [2]lex!$HU$2:$HU$195)</f>
        <v>82</v>
      </c>
      <c r="F135" s="17" t="str">
        <f>_xlfn.XLOOKUP(A135,[3]gdp_pcap!$A$2:$A$194,[3]gdp_pcap!$HT$2:$HT$194 )</f>
        <v>49598.26506</v>
      </c>
      <c r="G135" s="17" t="str">
        <f>_xlfn.XLOOKUP($A135,[4]ag_lnd_totl_k2!$A$2:$A$195, [4]ag_lnd_totl_k2!$BM$2:$BM$195)</f>
        <v>263310</v>
      </c>
      <c r="H135" s="17" t="str">
        <f>_xlfn.XLOOKUP($A135,[5]industrial_water_withdrawal_per!$A$2:$A$179,[5]industrial_water_withdrawal_per!$BH$2:$BH$179 )</f>
        <v>23.977</v>
      </c>
      <c r="I135" s="17" t="str">
        <f>_xlfn.XLOOKUP($A135,[6]agricultural_water_withdrawal_p!$A$2:$A$180,[6]agricultural_water_withdrawal_p!$BH$2:$BH$180 )</f>
        <v>64.945</v>
      </c>
      <c r="J135" s="17" t="str">
        <f>_xlfn.XLOOKUP($A135,[7]total_water_withdrawal_billion_!$A$2:$A$180, [7]total_water_withdrawal_billion_!$BK$2:$BK$180  )</f>
        <v>4.938</v>
      </c>
      <c r="K135" s="17" t="str">
        <f>_xlfn.XLOOKUP($A135,[8]hydro_power_generation_total!$A$2:$A$119,[8]hydro_power_generation_total!$BA$2:$BA$119 )</f>
        <v>2125000</v>
      </c>
      <c r="L135" s="17" t="str">
        <f>_xlfn.XLOOKUP($A135,[9]ag_lnd_prcp_mm!$A$2:$A$182, [9]ag_lnd_prcp_mm!$BL$2:$BL$182)</f>
        <v>1732</v>
      </c>
      <c r="M135" s="17" t="str">
        <f>_xlfn.XLOOKUP($A135,[10]co2_pcap_cons!$A$2:$A$193, [10]co2_pcap_cons!$HQ$2:$HQ$193)</f>
        <v>7.507</v>
      </c>
      <c r="N135" s="17" t="str">
        <f>_xlfn.XLOOKUP($A135,[11]primary_forest_area_ha!$A$2:$A$193, [11]primary_forest_area_ha!$AD$2:$AD$193)</f>
        <v>2160000</v>
      </c>
      <c r="O135" s="17" t="str">
        <f>_xlfn.XLOOKUP($A135,[12]en_mam_thrd_no!$A$2:$A$195,[12]en_mam_thrd_no!$G$2:$G$195)</f>
        <v>9</v>
      </c>
      <c r="P135" s="17" t="str">
        <f>_xlfn.XLOOKUP($A135,[13]en_fsh_thrd_no!$A$2:$A$195,[13]en_fsh_thrd_no!$G$2:$G$195)</f>
        <v>48</v>
      </c>
      <c r="Q135" s="17" t="str">
        <f>_xlfn.XLOOKUP($A135,[14]en_bir_thrd_no!$A$2:$A$195,[14]en_bir_thrd_no!$G$2:$G$195)</f>
        <v>67</v>
      </c>
      <c r="R135" s="17" t="str">
        <f>_xlfn.XLOOKUP($A135,[15]en_hpt_thrd_no!$A$2:$A$195,[15]en_hpt_thrd_no!$G$2:$G$195)</f>
        <v>21</v>
      </c>
      <c r="S135" s="17" t="str">
        <f>_xlfn.XLOOKUP($A135,[16]er_lnd_ptld_zs!$A$2:$A$194, [16]er_lnd_ptld_zs!$O$2:$O$194)</f>
        <v>33.4</v>
      </c>
      <c r="T135" s="17" t="str">
        <f>_xlfn.XLOOKUP($A135,[17]er_mrn_ptmr_zs!$A$2:$A$155,[17]er_mrn_ptmr_zs!$O$2:$O$155)</f>
        <v>30.4</v>
      </c>
    </row>
    <row r="136" spans="1:20" x14ac:dyDescent="0.2">
      <c r="A136" t="s">
        <v>402</v>
      </c>
      <c r="B136" t="s">
        <v>403</v>
      </c>
      <c r="C136" s="18" t="str">
        <f>_xlfn.XLOOKUP(A136,[1]Tabelle1!$A$2:$A$196,[1]Tabelle1!$C$2:$C$196)</f>
        <v>asia</v>
      </c>
      <c r="D136" t="s">
        <v>404</v>
      </c>
      <c r="E136" s="17" t="str">
        <f>_xlfn.XLOOKUP(A136,[2]lex!$A$2:$A$195, [2]lex!$HU$2:$HU$195)</f>
        <v>77.67</v>
      </c>
      <c r="F136" s="17" t="str">
        <f>_xlfn.XLOOKUP(A136,[3]gdp_pcap!$A$2:$A$194,[3]gdp_pcap!$HT$2:$HT$194 )</f>
        <v>37310.77532</v>
      </c>
      <c r="G136" s="17" t="str">
        <f>_xlfn.XLOOKUP($A136,[4]ag_lnd_totl_k2!$A$2:$A$195, [4]ag_lnd_totl_k2!$BM$2:$BM$195)</f>
        <v>309500</v>
      </c>
      <c r="H136" s="17" t="str">
        <f>_xlfn.XLOOKUP($A136,[5]industrial_water_withdrawal_per!$A$2:$A$179,[5]industrial_water_withdrawal_per!$BH$2:$BH$179 )</f>
        <v>12.428</v>
      </c>
      <c r="I136" s="17" t="str">
        <f>_xlfn.XLOOKUP($A136,[6]agricultural_water_withdrawal_p!$A$2:$A$180,[6]agricultural_water_withdrawal_p!$BH$2:$BH$180 )</f>
        <v>80.783</v>
      </c>
      <c r="J136" s="17" t="str">
        <f>_xlfn.XLOOKUP($A136,[7]total_water_withdrawal_billion_!$A$2:$A$180, [7]total_water_withdrawal_billion_!$BK$2:$BK$180  )</f>
        <v>1.915</v>
      </c>
      <c r="K136" s="17" t="e">
        <f>_xlfn.XLOOKUP($A136,[8]hydro_power_generation_total!$A$2:$A$119,[8]hydro_power_generation_total!$BA$2:$BA$119 )</f>
        <v>#N/A</v>
      </c>
      <c r="L136" s="17" t="str">
        <f>_xlfn.XLOOKUP($A136,[9]ag_lnd_prcp_mm!$A$2:$A$182, [9]ag_lnd_prcp_mm!$BL$2:$BL$182)</f>
        <v>125</v>
      </c>
      <c r="M136" s="17" t="str">
        <f>_xlfn.XLOOKUP($A136,[10]co2_pcap_cons!$A$2:$A$193, [10]co2_pcap_cons!$HQ$2:$HQ$193)</f>
        <v>14.91</v>
      </c>
      <c r="N136" s="17">
        <f>_xlfn.XLOOKUP($A136,[11]primary_forest_area_ha!$A$2:$A$193, [11]primary_forest_area_ha!$AD$2:$AD$193)</f>
        <v>0</v>
      </c>
      <c r="O136" s="17" t="str">
        <f>_xlfn.XLOOKUP($A136,[12]en_mam_thrd_no!$A$2:$A$195,[12]en_mam_thrd_no!$G$2:$G$195)</f>
        <v>9</v>
      </c>
      <c r="P136" s="17" t="str">
        <f>_xlfn.XLOOKUP($A136,[13]en_fsh_thrd_no!$A$2:$A$195,[13]en_fsh_thrd_no!$G$2:$G$195)</f>
        <v>73</v>
      </c>
      <c r="Q136" s="17" t="str">
        <f>_xlfn.XLOOKUP($A136,[14]en_bir_thrd_no!$A$2:$A$195,[14]en_bir_thrd_no!$G$2:$G$195)</f>
        <v>13</v>
      </c>
      <c r="R136" s="17" t="str">
        <f>_xlfn.XLOOKUP($A136,[15]en_hpt_thrd_no!$A$2:$A$195,[15]en_hpt_thrd_no!$G$2:$G$195)</f>
        <v>8</v>
      </c>
      <c r="S136" s="17" t="str">
        <f>_xlfn.XLOOKUP($A136,[16]er_lnd_ptld_zs!$A$2:$A$194, [16]er_lnd_ptld_zs!$O$2:$O$194)</f>
        <v>28.9</v>
      </c>
      <c r="T136" s="17" t="str">
        <f>_xlfn.XLOOKUP($A136,[17]er_mrn_ptmr_zs!$A$2:$A$155,[17]er_mrn_ptmr_zs!$O$2:$O$155)</f>
        <v>16.2</v>
      </c>
    </row>
    <row r="137" spans="1:20" x14ac:dyDescent="0.2">
      <c r="A137" t="s">
        <v>405</v>
      </c>
      <c r="B137" t="s">
        <v>406</v>
      </c>
      <c r="C137" s="18" t="str">
        <f>_xlfn.XLOOKUP(A137,[1]Tabelle1!$A$2:$A$196,[1]Tabelle1!$C$2:$C$196)</f>
        <v>asia</v>
      </c>
      <c r="D137" t="s">
        <v>407</v>
      </c>
      <c r="E137" s="17" t="str">
        <f>_xlfn.XLOOKUP(A137,[2]lex!$A$2:$A$195, [2]lex!$HU$2:$HU$195)</f>
        <v>70.52</v>
      </c>
      <c r="F137" s="17" t="str">
        <f>_xlfn.XLOOKUP(A137,[3]gdp_pcap!$A$2:$A$194,[3]gdp_pcap!$HT$2:$HT$194 )</f>
        <v>5717.17543</v>
      </c>
      <c r="G137" s="17" t="str">
        <f>_xlfn.XLOOKUP($A137,[4]ag_lnd_totl_k2!$A$2:$A$195, [4]ag_lnd_totl_k2!$BM$2:$BM$195)</f>
        <v>770880</v>
      </c>
      <c r="H137" s="17" t="str">
        <f>_xlfn.XLOOKUP($A137,[5]industrial_water_withdrawal_per!$A$2:$A$179,[5]industrial_water_withdrawal_per!$BH$2:$BH$179 )</f>
        <v>0.76315</v>
      </c>
      <c r="I137" s="17" t="str">
        <f>_xlfn.XLOOKUP($A137,[6]agricultural_water_withdrawal_p!$A$2:$A$180,[6]agricultural_water_withdrawal_p!$BH$2:$BH$180 )</f>
        <v>93.977</v>
      </c>
      <c r="J137" s="17" t="str">
        <f>_xlfn.XLOOKUP($A137,[7]total_water_withdrawal_billion_!$A$2:$A$180, [7]total_water_withdrawal_billion_!$BK$2:$BK$180  )</f>
        <v>183.45</v>
      </c>
      <c r="K137" s="17" t="str">
        <f>_xlfn.XLOOKUP($A137,[8]hydro_power_generation_total!$A$2:$A$119,[8]hydro_power_generation_total!$BA$2:$BA$119 )</f>
        <v>2735000</v>
      </c>
      <c r="L137" s="17" t="str">
        <f>_xlfn.XLOOKUP($A137,[9]ag_lnd_prcp_mm!$A$2:$A$182, [9]ag_lnd_prcp_mm!$BL$2:$BL$182)</f>
        <v>494</v>
      </c>
      <c r="M137" s="17" t="str">
        <f>_xlfn.XLOOKUP($A137,[10]co2_pcap_cons!$A$2:$A$193, [10]co2_pcap_cons!$HQ$2:$HQ$193)</f>
        <v>1.097</v>
      </c>
      <c r="N137" s="17">
        <f>_xlfn.XLOOKUP($A137,[11]primary_forest_area_ha!$A$2:$A$193, [11]primary_forest_area_ha!$AD$2:$AD$193)</f>
        <v>0</v>
      </c>
      <c r="O137" s="17" t="str">
        <f>_xlfn.XLOOKUP($A137,[12]en_mam_thrd_no!$A$2:$A$195,[12]en_mam_thrd_no!$G$2:$G$195)</f>
        <v>24</v>
      </c>
      <c r="P137" s="17" t="str">
        <f>_xlfn.XLOOKUP($A137,[13]en_fsh_thrd_no!$A$2:$A$195,[13]en_fsh_thrd_no!$G$2:$G$195)</f>
        <v>117</v>
      </c>
      <c r="Q137" s="17" t="str">
        <f>_xlfn.XLOOKUP($A137,[14]en_bir_thrd_no!$A$2:$A$195,[14]en_bir_thrd_no!$G$2:$G$195)</f>
        <v>33</v>
      </c>
      <c r="R137" s="17" t="str">
        <f>_xlfn.XLOOKUP($A137,[15]en_hpt_thrd_no!$A$2:$A$195,[15]en_hpt_thrd_no!$G$2:$G$195)</f>
        <v>20</v>
      </c>
      <c r="S137" s="17" t="str">
        <f>_xlfn.XLOOKUP($A137,[16]er_lnd_ptld_zs!$A$2:$A$194, [16]er_lnd_ptld_zs!$O$2:$O$194)</f>
        <v>19.1</v>
      </c>
      <c r="T137" s="17" t="str">
        <f>_xlfn.XLOOKUP($A137,[17]er_mrn_ptmr_zs!$A$2:$A$155,[17]er_mrn_ptmr_zs!$O$2:$O$155)</f>
        <v>1.2</v>
      </c>
    </row>
    <row r="138" spans="1:20" x14ac:dyDescent="0.2">
      <c r="A138" t="s">
        <v>408</v>
      </c>
      <c r="B138" t="s">
        <v>409</v>
      </c>
      <c r="C138" s="18" t="str">
        <f>_xlfn.XLOOKUP(A138,[1]Tabelle1!$A$2:$A$196,[1]Tabelle1!$C$2:$C$196)</f>
        <v>americas</v>
      </c>
      <c r="D138" t="s">
        <v>410</v>
      </c>
      <c r="E138" s="17" t="str">
        <f>_xlfn.XLOOKUP(A138,[2]lex!$A$2:$A$195, [2]lex!$HU$2:$HU$195)</f>
        <v>79.7</v>
      </c>
      <c r="F138" s="17" t="str">
        <f>_xlfn.XLOOKUP(A138,[3]gdp_pcap!$A$2:$A$194,[3]gdp_pcap!$HT$2:$HT$194 )</f>
        <v>38412.09464</v>
      </c>
      <c r="G138" s="17" t="str">
        <f>_xlfn.XLOOKUP($A138,[4]ag_lnd_totl_k2!$A$2:$A$195, [4]ag_lnd_totl_k2!$BM$2:$BM$195)</f>
        <v>74180</v>
      </c>
      <c r="H138" s="17" t="str">
        <f>_xlfn.XLOOKUP($A138,[5]industrial_water_withdrawal_per!$A$2:$A$179,[5]industrial_water_withdrawal_per!$BH$2:$BH$179 )</f>
        <v>0.5118</v>
      </c>
      <c r="I138" s="17" t="str">
        <f>_xlfn.XLOOKUP($A138,[6]agricultural_water_withdrawal_p!$A$2:$A$180,[6]agricultural_water_withdrawal_p!$BH$2:$BH$180 )</f>
        <v>36.825</v>
      </c>
      <c r="J138" s="17" t="str">
        <f>_xlfn.XLOOKUP($A138,[7]total_water_withdrawal_billion_!$A$2:$A$180, [7]total_water_withdrawal_billion_!$BK$2:$BK$180  )</f>
        <v>1.2114</v>
      </c>
      <c r="K138" s="17" t="str">
        <f>_xlfn.XLOOKUP($A138,[8]hydro_power_generation_total!$A$2:$A$119,[8]hydro_power_generation_total!$BA$2:$BA$119 )</f>
        <v>360600</v>
      </c>
      <c r="L138" s="17" t="str">
        <f>_xlfn.XLOOKUP($A138,[9]ag_lnd_prcp_mm!$A$2:$A$182, [9]ag_lnd_prcp_mm!$BL$2:$BL$182)</f>
        <v>2928</v>
      </c>
      <c r="M138" s="17" t="str">
        <f>_xlfn.XLOOKUP($A138,[10]co2_pcap_cons!$A$2:$A$193, [10]co2_pcap_cons!$HQ$2:$HQ$193)</f>
        <v>4.022</v>
      </c>
      <c r="N138" s="17">
        <f>_xlfn.XLOOKUP($A138,[11]primary_forest_area_ha!$A$2:$A$193, [11]primary_forest_area_ha!$AD$2:$AD$193)</f>
        <v>0</v>
      </c>
      <c r="O138" s="17" t="str">
        <f>_xlfn.XLOOKUP($A138,[12]en_mam_thrd_no!$A$2:$A$195,[12]en_mam_thrd_no!$G$2:$G$195)</f>
        <v>18</v>
      </c>
      <c r="P138" s="17" t="str">
        <f>_xlfn.XLOOKUP($A138,[13]en_fsh_thrd_no!$A$2:$A$195,[13]en_fsh_thrd_no!$G$2:$G$195)</f>
        <v>128</v>
      </c>
      <c r="Q138" s="17" t="str">
        <f>_xlfn.XLOOKUP($A138,[14]en_bir_thrd_no!$A$2:$A$195,[14]en_bir_thrd_no!$G$2:$G$195)</f>
        <v>19</v>
      </c>
      <c r="R138" s="17" t="str">
        <f>_xlfn.XLOOKUP($A138,[15]en_hpt_thrd_no!$A$2:$A$195,[15]en_hpt_thrd_no!$G$2:$G$195)</f>
        <v>238</v>
      </c>
      <c r="S138" s="17" t="str">
        <f>_xlfn.XLOOKUP($A138,[16]er_lnd_ptld_zs!$A$2:$A$194, [16]er_lnd_ptld_zs!$O$2:$O$194)</f>
        <v>31.4</v>
      </c>
      <c r="T138" s="17" t="str">
        <f>_xlfn.XLOOKUP($A138,[17]er_mrn_ptmr_zs!$A$2:$A$155,[17]er_mrn_ptmr_zs!$O$2:$O$155)</f>
        <v>26.3</v>
      </c>
    </row>
    <row r="139" spans="1:20" x14ac:dyDescent="0.2">
      <c r="A139" t="s">
        <v>411</v>
      </c>
      <c r="B139" t="s">
        <v>412</v>
      </c>
      <c r="C139" s="18" t="str">
        <f>_xlfn.XLOOKUP(A139,[1]Tabelle1!$A$2:$A$196,[1]Tabelle1!$C$2:$C$196)</f>
        <v>americas</v>
      </c>
      <c r="D139" t="s">
        <v>413</v>
      </c>
      <c r="E139" s="17" t="str">
        <f>_xlfn.XLOOKUP(A139,[2]lex!$A$2:$A$195, [2]lex!$HU$2:$HU$195)</f>
        <v>77.7</v>
      </c>
      <c r="F139" s="17" t="str">
        <f>_xlfn.XLOOKUP(A139,[3]gdp_pcap!$A$2:$A$194,[3]gdp_pcap!$HT$2:$HT$194 )</f>
        <v>16370.68024</v>
      </c>
      <c r="G139" s="17" t="str">
        <f>_xlfn.XLOOKUP($A139,[4]ag_lnd_totl_k2!$A$2:$A$195, [4]ag_lnd_totl_k2!$BM$2:$BM$195)</f>
        <v>1280000</v>
      </c>
      <c r="H139" s="17" t="str">
        <f>_xlfn.XLOOKUP($A139,[5]industrial_water_withdrawal_per!$A$2:$A$179,[5]industrial_water_withdrawal_per!$BH$2:$BH$179 )</f>
        <v>6.4277</v>
      </c>
      <c r="I139" s="17" t="str">
        <f>_xlfn.XLOOKUP($A139,[6]agricultural_water_withdrawal_p!$A$2:$A$180,[6]agricultural_water_withdrawal_p!$BH$2:$BH$180 )</f>
        <v>81.454</v>
      </c>
      <c r="J139" s="17" t="str">
        <f>_xlfn.XLOOKUP($A139,[7]total_water_withdrawal_billion_!$A$2:$A$180, [7]total_water_withdrawal_billion_!$BK$2:$BK$180  )</f>
        <v>25.919</v>
      </c>
      <c r="K139" s="17" t="str">
        <f>_xlfn.XLOOKUP($A139,[8]hydro_power_generation_total!$A$2:$A$119,[8]hydro_power_generation_total!$BA$2:$BA$119 )</f>
        <v>1723000</v>
      </c>
      <c r="L139" s="17" t="str">
        <f>_xlfn.XLOOKUP($A139,[9]ag_lnd_prcp_mm!$A$2:$A$182, [9]ag_lnd_prcp_mm!$BL$2:$BL$182)</f>
        <v>1738</v>
      </c>
      <c r="M139" s="17" t="str">
        <f>_xlfn.XLOOKUP($A139,[10]co2_pcap_cons!$A$2:$A$193, [10]co2_pcap_cons!$HQ$2:$HQ$193)</f>
        <v>2.006</v>
      </c>
      <c r="N139" s="17" t="str">
        <f>_xlfn.XLOOKUP($A139,[11]primary_forest_area_ha!$A$2:$A$193, [11]primary_forest_area_ha!$AD$2:$AD$193)</f>
        <v>65790000</v>
      </c>
      <c r="O139" s="17" t="str">
        <f>_xlfn.XLOOKUP($A139,[12]en_mam_thrd_no!$A$2:$A$195,[12]en_mam_thrd_no!$G$2:$G$195)</f>
        <v>51</v>
      </c>
      <c r="P139" s="17" t="str">
        <f>_xlfn.XLOOKUP($A139,[13]en_fsh_thrd_no!$A$2:$A$195,[13]en_fsh_thrd_no!$G$2:$G$195)</f>
        <v>90</v>
      </c>
      <c r="Q139" s="17" t="str">
        <f>_xlfn.XLOOKUP($A139,[14]en_bir_thrd_no!$A$2:$A$195,[14]en_bir_thrd_no!$G$2:$G$195)</f>
        <v>93</v>
      </c>
      <c r="R139" s="17" t="str">
        <f>_xlfn.XLOOKUP($A139,[15]en_hpt_thrd_no!$A$2:$A$195,[15]en_hpt_thrd_no!$G$2:$G$195)</f>
        <v>568</v>
      </c>
      <c r="S139" s="17" t="str">
        <f>_xlfn.XLOOKUP($A139,[16]er_lnd_ptld_zs!$A$2:$A$194, [16]er_lnd_ptld_zs!$O$2:$O$194)</f>
        <v>22.1</v>
      </c>
      <c r="T139" s="17" t="str">
        <f>_xlfn.XLOOKUP($A139,[17]er_mrn_ptmr_zs!$A$2:$A$155,[17]er_mrn_ptmr_zs!$O$2:$O$155)</f>
        <v>7.9</v>
      </c>
    </row>
    <row r="140" spans="1:20" x14ac:dyDescent="0.2">
      <c r="A140" t="s">
        <v>414</v>
      </c>
      <c r="B140" t="s">
        <v>415</v>
      </c>
      <c r="C140" s="18" t="str">
        <f>_xlfn.XLOOKUP(A140,[1]Tabelle1!$A$2:$A$196,[1]Tabelle1!$C$2:$C$196)</f>
        <v>asia</v>
      </c>
      <c r="D140" t="s">
        <v>416</v>
      </c>
      <c r="E140" s="17" t="str">
        <f>_xlfn.XLOOKUP(A140,[2]lex!$A$2:$A$195, [2]lex!$HU$2:$HU$195)</f>
        <v>72.51</v>
      </c>
      <c r="F140" s="17" t="str">
        <f>_xlfn.XLOOKUP(A140,[3]gdp_pcap!$A$2:$A$194,[3]gdp_pcap!$HT$2:$HT$194 )</f>
        <v>11116.63775</v>
      </c>
      <c r="G140" s="17" t="str">
        <f>_xlfn.XLOOKUP($A140,[4]ag_lnd_totl_k2!$A$2:$A$195, [4]ag_lnd_totl_k2!$BM$2:$BM$195)</f>
        <v>298170</v>
      </c>
      <c r="H140" s="17" t="str">
        <f>_xlfn.XLOOKUP($A140,[5]industrial_water_withdrawal_per!$A$2:$A$179,[5]industrial_water_withdrawal_per!$BH$2:$BH$179 )</f>
        <v>14.941</v>
      </c>
      <c r="I140" s="17" t="str">
        <f>_xlfn.XLOOKUP($A140,[6]agricultural_water_withdrawal_p!$A$2:$A$180,[6]agricultural_water_withdrawal_p!$BH$2:$BH$180 )</f>
        <v>74.626</v>
      </c>
      <c r="J140" s="17" t="str">
        <f>_xlfn.XLOOKUP($A140,[7]total_water_withdrawal_billion_!$A$2:$A$180, [7]total_water_withdrawal_billion_!$BK$2:$BK$180  )</f>
        <v>91.037</v>
      </c>
      <c r="K140" s="17" t="str">
        <f>_xlfn.XLOOKUP($A140,[8]hydro_power_generation_total!$A$2:$A$119,[8]hydro_power_generation_total!$BA$2:$BA$119 )</f>
        <v>670900</v>
      </c>
      <c r="L140" s="17" t="str">
        <f>_xlfn.XLOOKUP($A140,[9]ag_lnd_prcp_mm!$A$2:$A$182, [9]ag_lnd_prcp_mm!$BL$2:$BL$182)</f>
        <v>2348</v>
      </c>
      <c r="M140" s="17" t="str">
        <f>_xlfn.XLOOKUP($A140,[10]co2_pcap_cons!$A$2:$A$193, [10]co2_pcap_cons!$HQ$2:$HQ$193)</f>
        <v>1.608</v>
      </c>
      <c r="N140" s="17" t="str">
        <f>_xlfn.XLOOKUP($A140,[11]primary_forest_area_ha!$A$2:$A$193, [11]primary_forest_area_ha!$AD$2:$AD$193)</f>
        <v>861000</v>
      </c>
      <c r="O140" s="17" t="str">
        <f>_xlfn.XLOOKUP($A140,[12]en_mam_thrd_no!$A$2:$A$195,[12]en_mam_thrd_no!$G$2:$G$195)</f>
        <v>42</v>
      </c>
      <c r="P140" s="17" t="str">
        <f>_xlfn.XLOOKUP($A140,[13]en_fsh_thrd_no!$A$2:$A$195,[13]en_fsh_thrd_no!$G$2:$G$195)</f>
        <v>143</v>
      </c>
      <c r="Q140" s="17" t="str">
        <f>_xlfn.XLOOKUP($A140,[14]en_bir_thrd_no!$A$2:$A$195,[14]en_bir_thrd_no!$G$2:$G$195)</f>
        <v>91</v>
      </c>
      <c r="R140" s="17" t="str">
        <f>_xlfn.XLOOKUP($A140,[15]en_hpt_thrd_no!$A$2:$A$195,[15]en_hpt_thrd_no!$G$2:$G$195)</f>
        <v>903</v>
      </c>
      <c r="S140" s="17" t="str">
        <f>_xlfn.XLOOKUP($A140,[16]er_lnd_ptld_zs!$A$2:$A$194, [16]er_lnd_ptld_zs!$O$2:$O$194)</f>
        <v>16</v>
      </c>
      <c r="T140" s="17" t="str">
        <f>_xlfn.XLOOKUP($A140,[17]er_mrn_ptmr_zs!$A$2:$A$155,[17]er_mrn_ptmr_zs!$O$2:$O$155)</f>
        <v>1.6</v>
      </c>
    </row>
    <row r="141" spans="1:20" x14ac:dyDescent="0.2">
      <c r="A141" t="s">
        <v>417</v>
      </c>
      <c r="B141" t="s">
        <v>418</v>
      </c>
      <c r="C141" s="18" t="str">
        <f>_xlfn.XLOOKUP(A141,[1]Tabelle1!$A$2:$A$196,[1]Tabelle1!$C$2:$C$196)</f>
        <v>asia</v>
      </c>
      <c r="D141" t="s">
        <v>419</v>
      </c>
      <c r="E141" s="17" t="str">
        <f>_xlfn.XLOOKUP(A141,[2]lex!$A$2:$A$195, [2]lex!$HU$2:$HU$195)</f>
        <v>69.2</v>
      </c>
      <c r="F141" s="17" t="str">
        <f>_xlfn.XLOOKUP(A141,[3]gdp_pcap!$A$2:$A$194,[3]gdp_pcap!$HT$2:$HT$194 )</f>
        <v>18884.74308</v>
      </c>
      <c r="G141" s="17" t="str">
        <f>_xlfn.XLOOKUP($A141,[4]ag_lnd_totl_k2!$A$2:$A$195, [4]ag_lnd_totl_k2!$BM$2:$BM$195)</f>
        <v>460</v>
      </c>
      <c r="H141" s="17" t="e">
        <f>_xlfn.XLOOKUP($A141,[5]industrial_water_withdrawal_per!$A$2:$A$179,[5]industrial_water_withdrawal_per!$BH$2:$BH$179 )</f>
        <v>#N/A</v>
      </c>
      <c r="I141" s="17" t="e">
        <f>_xlfn.XLOOKUP($A141,[6]agricultural_water_withdrawal_p!$A$2:$A$180,[6]agricultural_water_withdrawal_p!$BH$2:$BH$180 )</f>
        <v>#N/A</v>
      </c>
      <c r="J141" s="17" t="e">
        <f>_xlfn.XLOOKUP($A141,[7]total_water_withdrawal_billion_!$A$2:$A$180, [7]total_water_withdrawal_billion_!$BK$2:$BK$180  )</f>
        <v>#N/A</v>
      </c>
      <c r="K141" s="17" t="e">
        <f>_xlfn.XLOOKUP($A141,[8]hydro_power_generation_total!$A$2:$A$119,[8]hydro_power_generation_total!$BA$2:$BA$119 )</f>
        <v>#N/A</v>
      </c>
      <c r="L141" s="17" t="e">
        <f>_xlfn.XLOOKUP($A141,[9]ag_lnd_prcp_mm!$A$2:$A$182, [9]ag_lnd_prcp_mm!$BL$2:$BL$182)</f>
        <v>#N/A</v>
      </c>
      <c r="M141" s="17" t="str">
        <f>_xlfn.XLOOKUP($A141,[10]co2_pcap_cons!$A$2:$A$193, [10]co2_pcap_cons!$HQ$2:$HQ$193)</f>
        <v>14.248</v>
      </c>
      <c r="N141" s="17">
        <f>_xlfn.XLOOKUP($A141,[11]primary_forest_area_ha!$A$2:$A$193, [11]primary_forest_area_ha!$AD$2:$AD$193)</f>
        <v>0</v>
      </c>
      <c r="O141" s="17" t="str">
        <f>_xlfn.XLOOKUP($A141,[12]en_mam_thrd_no!$A$2:$A$195,[12]en_mam_thrd_no!$G$2:$G$195)</f>
        <v>5</v>
      </c>
      <c r="P141" s="17" t="str">
        <f>_xlfn.XLOOKUP($A141,[13]en_fsh_thrd_no!$A$2:$A$195,[13]en_fsh_thrd_no!$G$2:$G$195)</f>
        <v>29</v>
      </c>
      <c r="Q141" s="17" t="str">
        <f>_xlfn.XLOOKUP($A141,[14]en_bir_thrd_no!$A$2:$A$195,[14]en_bir_thrd_no!$G$2:$G$195)</f>
        <v>6</v>
      </c>
      <c r="R141" s="17" t="str">
        <f>_xlfn.XLOOKUP($A141,[15]en_hpt_thrd_no!$A$2:$A$195,[15]en_hpt_thrd_no!$G$2:$G$195)</f>
        <v>5</v>
      </c>
      <c r="S141" s="17" t="str">
        <f>_xlfn.XLOOKUP($A141,[16]er_lnd_ptld_zs!$A$2:$A$194, [16]er_lnd_ptld_zs!$O$2:$O$194)</f>
        <v>31.4</v>
      </c>
      <c r="T141" s="17" t="str">
        <f>_xlfn.XLOOKUP($A141,[17]er_mrn_ptmr_zs!$A$2:$A$155,[17]er_mrn_ptmr_zs!$O$2:$O$155)</f>
        <v>98</v>
      </c>
    </row>
    <row r="142" spans="1:20" x14ac:dyDescent="0.2">
      <c r="A142" t="s">
        <v>420</v>
      </c>
      <c r="B142" t="s">
        <v>421</v>
      </c>
      <c r="C142" s="18" t="str">
        <f>_xlfn.XLOOKUP(A142,[1]Tabelle1!$A$2:$A$196,[1]Tabelle1!$C$2:$C$196)</f>
        <v>asia</v>
      </c>
      <c r="D142" t="s">
        <v>422</v>
      </c>
      <c r="E142" s="17" t="str">
        <f>_xlfn.XLOOKUP(A142,[2]lex!$A$2:$A$195, [2]lex!$HU$2:$HU$195)</f>
        <v>66.7</v>
      </c>
      <c r="F142" s="17" t="str">
        <f>_xlfn.XLOOKUP(A142,[3]gdp_pcap!$A$2:$A$194,[3]gdp_pcap!$HT$2:$HT$194 )</f>
        <v>4521.77359</v>
      </c>
      <c r="G142" s="17" t="str">
        <f>_xlfn.XLOOKUP($A142,[4]ag_lnd_totl_k2!$A$2:$A$195, [4]ag_lnd_totl_k2!$BM$2:$BM$195)</f>
        <v>452860</v>
      </c>
      <c r="H142" s="17" t="str">
        <f>_xlfn.XLOOKUP($A142,[5]industrial_water_withdrawal_per!$A$2:$A$179,[5]industrial_water_withdrawal_per!$BH$2:$BH$179 )</f>
        <v>42.744</v>
      </c>
      <c r="I142" s="17" t="str">
        <f>_xlfn.XLOOKUP($A142,[6]agricultural_water_withdrawal_p!$A$2:$A$180,[6]agricultural_water_withdrawal_p!$BH$2:$BH$180 )</f>
        <v>0.25504</v>
      </c>
      <c r="J142" s="17" t="str">
        <f>_xlfn.XLOOKUP($A142,[7]total_water_withdrawal_billion_!$A$2:$A$180, [7]total_water_withdrawal_billion_!$BK$2:$BK$180  )</f>
        <v>0.3921</v>
      </c>
      <c r="K142" s="17" t="e">
        <f>_xlfn.XLOOKUP($A142,[8]hydro_power_generation_total!$A$2:$A$119,[8]hydro_power_generation_total!$BA$2:$BA$119 )</f>
        <v>#N/A</v>
      </c>
      <c r="L142" s="17" t="str">
        <f>_xlfn.XLOOKUP($A142,[9]ag_lnd_prcp_mm!$A$2:$A$182, [9]ag_lnd_prcp_mm!$BL$2:$BL$182)</f>
        <v>3142</v>
      </c>
      <c r="M142" s="17" t="str">
        <f>_xlfn.XLOOKUP($A142,[10]co2_pcap_cons!$A$2:$A$193, [10]co2_pcap_cons!$HQ$2:$HQ$193)</f>
        <v>0.986</v>
      </c>
      <c r="N142" s="17" t="str">
        <f>_xlfn.XLOOKUP($A142,[11]primary_forest_area_ha!$A$2:$A$193, [11]primary_forest_area_ha!$AD$2:$AD$193)</f>
        <v>17599000</v>
      </c>
      <c r="O142" s="17" t="str">
        <f>_xlfn.XLOOKUP($A142,[12]en_mam_thrd_no!$A$2:$A$195,[12]en_mam_thrd_no!$G$2:$G$195)</f>
        <v>51</v>
      </c>
      <c r="P142" s="17" t="str">
        <f>_xlfn.XLOOKUP($A142,[13]en_fsh_thrd_no!$A$2:$A$195,[13]en_fsh_thrd_no!$G$2:$G$195)</f>
        <v>132</v>
      </c>
      <c r="Q142" s="17" t="str">
        <f>_xlfn.XLOOKUP($A142,[14]en_bir_thrd_no!$A$2:$A$195,[14]en_bir_thrd_no!$G$2:$G$195)</f>
        <v>38</v>
      </c>
      <c r="R142" s="17" t="str">
        <f>_xlfn.XLOOKUP($A142,[15]en_hpt_thrd_no!$A$2:$A$195,[15]en_hpt_thrd_no!$G$2:$G$195)</f>
        <v>641</v>
      </c>
      <c r="S142" s="17" t="str">
        <f>_xlfn.XLOOKUP($A142,[16]er_lnd_ptld_zs!$A$2:$A$194, [16]er_lnd_ptld_zs!$O$2:$O$194)</f>
        <v>3.7</v>
      </c>
      <c r="T142" s="17" t="str">
        <f>_xlfn.XLOOKUP($A142,[17]er_mrn_ptmr_zs!$A$2:$A$155,[17]er_mrn_ptmr_zs!$O$2:$O$155)</f>
        <v>0.1</v>
      </c>
    </row>
    <row r="143" spans="1:20" x14ac:dyDescent="0.2">
      <c r="A143" t="s">
        <v>423</v>
      </c>
      <c r="B143" t="s">
        <v>424</v>
      </c>
      <c r="C143" s="18" t="str">
        <f>_xlfn.XLOOKUP(A143,[1]Tabelle1!$A$2:$A$196,[1]Tabelle1!$C$2:$C$196)</f>
        <v>europe</v>
      </c>
      <c r="D143" t="s">
        <v>425</v>
      </c>
      <c r="E143" s="17" t="str">
        <f>_xlfn.XLOOKUP(A143,[2]lex!$A$2:$A$195, [2]lex!$HU$2:$HU$195)</f>
        <v>79.2</v>
      </c>
      <c r="F143" s="17" t="str">
        <f>_xlfn.XLOOKUP(A143,[3]gdp_pcap!$A$2:$A$194,[3]gdp_pcap!$HT$2:$HT$194 )</f>
        <v>47891.51537</v>
      </c>
      <c r="G143" s="17" t="str">
        <f>_xlfn.XLOOKUP($A143,[4]ag_lnd_totl_k2!$A$2:$A$195, [4]ag_lnd_totl_k2!$BM$2:$BM$195)</f>
        <v>306270</v>
      </c>
      <c r="H143" s="17" t="str">
        <f>_xlfn.XLOOKUP($A143,[5]industrial_water_withdrawal_per!$A$2:$A$179,[5]industrial_water_withdrawal_per!$BH$2:$BH$179 )</f>
        <v>65.492</v>
      </c>
      <c r="I143" s="17" t="str">
        <f>_xlfn.XLOOKUP($A143,[6]agricultural_water_withdrawal_p!$A$2:$A$180,[6]agricultural_water_withdrawal_p!$BH$2:$BH$180 )</f>
        <v>13.019</v>
      </c>
      <c r="J143" s="17" t="str">
        <f>_xlfn.XLOOKUP($A143,[7]total_water_withdrawal_billion_!$A$2:$A$180, [7]total_water_withdrawal_billion_!$BK$2:$BK$180  )</f>
        <v>9.8332</v>
      </c>
      <c r="K143" s="17" t="str">
        <f>_xlfn.XLOOKUP($A143,[8]hydro_power_generation_total!$A$2:$A$119,[8]hydro_power_generation_total!$BA$2:$BA$119 )</f>
        <v>251100</v>
      </c>
      <c r="L143" s="17" t="str">
        <f>_xlfn.XLOOKUP($A143,[9]ag_lnd_prcp_mm!$A$2:$A$182, [9]ag_lnd_prcp_mm!$BL$2:$BL$182)</f>
        <v>600</v>
      </c>
      <c r="M143" s="17" t="str">
        <f>_xlfn.XLOOKUP($A143,[10]co2_pcap_cons!$A$2:$A$193, [10]co2_pcap_cons!$HQ$2:$HQ$193)</f>
        <v>8.012</v>
      </c>
      <c r="N143" s="17" t="str">
        <f>_xlfn.XLOOKUP($A143,[11]primary_forest_area_ha!$A$2:$A$193, [11]primary_forest_area_ha!$AD$2:$AD$193)</f>
        <v>59000</v>
      </c>
      <c r="O143" s="17" t="str">
        <f>_xlfn.XLOOKUP($A143,[12]en_mam_thrd_no!$A$2:$A$195,[12]en_mam_thrd_no!$G$2:$G$195)</f>
        <v>4</v>
      </c>
      <c r="P143" s="17" t="str">
        <f>_xlfn.XLOOKUP($A143,[13]en_fsh_thrd_no!$A$2:$A$195,[13]en_fsh_thrd_no!$G$2:$G$195)</f>
        <v>8</v>
      </c>
      <c r="Q143" s="17" t="str">
        <f>_xlfn.XLOOKUP($A143,[14]en_bir_thrd_no!$A$2:$A$195,[14]en_bir_thrd_no!$G$2:$G$195)</f>
        <v>13</v>
      </c>
      <c r="R143" s="17" t="str">
        <f>_xlfn.XLOOKUP($A143,[15]en_hpt_thrd_no!$A$2:$A$195,[15]en_hpt_thrd_no!$G$2:$G$195)</f>
        <v>16</v>
      </c>
      <c r="S143" s="17" t="str">
        <f>_xlfn.XLOOKUP($A143,[16]er_lnd_ptld_zs!$A$2:$A$194, [16]er_lnd_ptld_zs!$O$2:$O$194)</f>
        <v>39.6</v>
      </c>
      <c r="T143" s="17" t="str">
        <f>_xlfn.XLOOKUP($A143,[17]er_mrn_ptmr_zs!$A$2:$A$155,[17]er_mrn_ptmr_zs!$O$2:$O$155)</f>
        <v>24</v>
      </c>
    </row>
    <row r="144" spans="1:20" x14ac:dyDescent="0.2">
      <c r="A144" t="s">
        <v>426</v>
      </c>
      <c r="B144" t="s">
        <v>427</v>
      </c>
      <c r="C144" s="18" t="str">
        <f>_xlfn.XLOOKUP(A144,[1]Tabelle1!$A$2:$A$196,[1]Tabelle1!$C$2:$C$196)</f>
        <v>asia</v>
      </c>
      <c r="D144" t="s">
        <v>428</v>
      </c>
      <c r="E144" s="17" t="str">
        <f>_xlfn.XLOOKUP(A144,[2]lex!$A$2:$A$195, [2]lex!$HU$2:$HU$195)</f>
        <v>74.1</v>
      </c>
      <c r="F144" s="17" t="str">
        <f>_xlfn.XLOOKUP(A144,[3]gdp_pcap!$A$2:$A$194,[3]gdp_pcap!$HT$2:$HT$194 )</f>
        <v>1542.77448</v>
      </c>
      <c r="G144" s="17" t="str">
        <f>_xlfn.XLOOKUP($A144,[4]ag_lnd_totl_k2!$A$2:$A$195, [4]ag_lnd_totl_k2!$BM$2:$BM$195)</f>
        <v>120410</v>
      </c>
      <c r="H144" s="17" t="str">
        <f>_xlfn.XLOOKUP($A144,[5]industrial_water_withdrawal_per!$A$2:$A$179,[5]industrial_water_withdrawal_per!$BH$2:$BH$179 )</f>
        <v>13.225</v>
      </c>
      <c r="I144" s="17" t="str">
        <f>_xlfn.XLOOKUP($A144,[6]agricultural_water_withdrawal_p!$A$2:$A$180,[6]agricultural_water_withdrawal_p!$BH$2:$BH$180 )</f>
        <v>76.347</v>
      </c>
      <c r="J144" s="17" t="str">
        <f>_xlfn.XLOOKUP($A144,[7]total_water_withdrawal_billion_!$A$2:$A$180, [7]total_water_withdrawal_billion_!$BK$2:$BK$180  )</f>
        <v>8.6578</v>
      </c>
      <c r="K144" s="17" t="str">
        <f>_xlfn.XLOOKUP($A144,[8]hydro_power_generation_total!$A$2:$A$119,[8]hydro_power_generation_total!$BA$2:$BA$119 )</f>
        <v>1153000</v>
      </c>
      <c r="L144" s="17" t="str">
        <f>_xlfn.XLOOKUP($A144,[9]ag_lnd_prcp_mm!$A$2:$A$182, [9]ag_lnd_prcp_mm!$BL$2:$BL$182)</f>
        <v>1054</v>
      </c>
      <c r="M144" s="17" t="str">
        <f>_xlfn.XLOOKUP($A144,[10]co2_pcap_cons!$A$2:$A$193, [10]co2_pcap_cons!$HQ$2:$HQ$193)</f>
        <v>1.324</v>
      </c>
      <c r="N144" s="17" t="str">
        <f>_xlfn.XLOOKUP($A144,[11]primary_forest_area_ha!$A$2:$A$193, [11]primary_forest_area_ha!$AD$2:$AD$193)</f>
        <v>701000</v>
      </c>
      <c r="O144" s="17" t="str">
        <f>_xlfn.XLOOKUP($A144,[12]en_mam_thrd_no!$A$2:$A$195,[12]en_mam_thrd_no!$G$2:$G$195)</f>
        <v>10</v>
      </c>
      <c r="P144" s="17" t="str">
        <f>_xlfn.XLOOKUP($A144,[13]en_fsh_thrd_no!$A$2:$A$195,[13]en_fsh_thrd_no!$G$2:$G$195)</f>
        <v>51</v>
      </c>
      <c r="Q144" s="17" t="str">
        <f>_xlfn.XLOOKUP($A144,[14]en_bir_thrd_no!$A$2:$A$195,[14]en_bir_thrd_no!$G$2:$G$195)</f>
        <v>30</v>
      </c>
      <c r="R144" s="17" t="str">
        <f>_xlfn.XLOOKUP($A144,[15]en_hpt_thrd_no!$A$2:$A$195,[15]en_hpt_thrd_no!$G$2:$G$195)</f>
        <v>20</v>
      </c>
      <c r="S144" s="17" t="str">
        <f>_xlfn.XLOOKUP($A144,[16]er_lnd_ptld_zs!$A$2:$A$194, [16]er_lnd_ptld_zs!$O$2:$O$194)</f>
        <v>2.4</v>
      </c>
      <c r="T144" s="17">
        <f>_xlfn.XLOOKUP($A144,[17]er_mrn_ptmr_zs!$A$2:$A$155,[17]er_mrn_ptmr_zs!$O$2:$O$155)</f>
        <v>0</v>
      </c>
    </row>
    <row r="145" spans="1:20" x14ac:dyDescent="0.2">
      <c r="A145" t="s">
        <v>429</v>
      </c>
      <c r="B145" t="s">
        <v>430</v>
      </c>
      <c r="C145" s="18" t="str">
        <f>_xlfn.XLOOKUP(A145,[1]Tabelle1!$A$2:$A$196,[1]Tabelle1!$C$2:$C$196)</f>
        <v>europe</v>
      </c>
      <c r="D145" t="s">
        <v>431</v>
      </c>
      <c r="E145" s="17" t="str">
        <f>_xlfn.XLOOKUP(A145,[2]lex!$A$2:$A$195, [2]lex!$HU$2:$HU$195)</f>
        <v>82.5</v>
      </c>
      <c r="F145" s="17" t="str">
        <f>_xlfn.XLOOKUP(A145,[3]gdp_pcap!$A$2:$A$194,[3]gdp_pcap!$HT$2:$HT$194 )</f>
        <v>43664.4989</v>
      </c>
      <c r="G145" s="17" t="str">
        <f>_xlfn.XLOOKUP($A145,[4]ag_lnd_totl_k2!$A$2:$A$195, [4]ag_lnd_totl_k2!$BM$2:$BM$195)</f>
        <v>91605.6</v>
      </c>
      <c r="H145" s="17" t="str">
        <f>_xlfn.XLOOKUP($A145,[5]industrial_water_withdrawal_per!$A$2:$A$179,[5]industrial_water_withdrawal_per!$BH$2:$BH$179 )</f>
        <v>29.658</v>
      </c>
      <c r="I145" s="17" t="str">
        <f>_xlfn.XLOOKUP($A145,[6]agricultural_water_withdrawal_p!$A$2:$A$180,[6]agricultural_water_withdrawal_p!$BH$2:$BH$180 )</f>
        <v>55.429</v>
      </c>
      <c r="J145" s="17" t="str">
        <f>_xlfn.XLOOKUP($A145,[7]total_water_withdrawal_billion_!$A$2:$A$180, [7]total_water_withdrawal_billion_!$BK$2:$BK$180  )</f>
        <v>6.1692</v>
      </c>
      <c r="K145" s="17" t="str">
        <f>_xlfn.XLOOKUP($A145,[8]hydro_power_generation_total!$A$2:$A$119,[8]hydro_power_generation_total!$BA$2:$BA$119 )</f>
        <v>1388000</v>
      </c>
      <c r="L145" s="17" t="str">
        <f>_xlfn.XLOOKUP($A145,[9]ag_lnd_prcp_mm!$A$2:$A$182, [9]ag_lnd_prcp_mm!$BL$2:$BL$182)</f>
        <v>854</v>
      </c>
      <c r="M145" s="17" t="str">
        <f>_xlfn.XLOOKUP($A145,[10]co2_pcap_cons!$A$2:$A$193, [10]co2_pcap_cons!$HQ$2:$HQ$193)</f>
        <v>4.603</v>
      </c>
      <c r="N145" s="17" t="str">
        <f>_xlfn.XLOOKUP($A145,[11]primary_forest_area_ha!$A$2:$A$193, [11]primary_forest_area_ha!$AD$2:$AD$193)</f>
        <v>24100</v>
      </c>
      <c r="O145" s="17" t="str">
        <f>_xlfn.XLOOKUP($A145,[12]en_mam_thrd_no!$A$2:$A$195,[12]en_mam_thrd_no!$G$2:$G$195)</f>
        <v>15</v>
      </c>
      <c r="P145" s="17" t="str">
        <f>_xlfn.XLOOKUP($A145,[13]en_fsh_thrd_no!$A$2:$A$195,[13]en_fsh_thrd_no!$G$2:$G$195)</f>
        <v>88</v>
      </c>
      <c r="Q145" s="17" t="str">
        <f>_xlfn.XLOOKUP($A145,[14]en_bir_thrd_no!$A$2:$A$195,[14]en_bir_thrd_no!$G$2:$G$195)</f>
        <v>17</v>
      </c>
      <c r="R145" s="17" t="str">
        <f>_xlfn.XLOOKUP($A145,[15]en_hpt_thrd_no!$A$2:$A$195,[15]en_hpt_thrd_no!$G$2:$G$195)</f>
        <v>144</v>
      </c>
      <c r="S145" s="17" t="str">
        <f>_xlfn.XLOOKUP($A145,[16]er_lnd_ptld_zs!$A$2:$A$194, [16]er_lnd_ptld_zs!$O$2:$O$194)</f>
        <v>23</v>
      </c>
      <c r="T145" s="17" t="str">
        <f>_xlfn.XLOOKUP($A145,[17]er_mrn_ptmr_zs!$A$2:$A$155,[17]er_mrn_ptmr_zs!$O$2:$O$155)</f>
        <v>16.9</v>
      </c>
    </row>
    <row r="146" spans="1:20" x14ac:dyDescent="0.2">
      <c r="A146" t="s">
        <v>432</v>
      </c>
      <c r="B146" t="s">
        <v>433</v>
      </c>
      <c r="C146" s="18" t="str">
        <f>_xlfn.XLOOKUP(A146,[1]Tabelle1!$A$2:$A$196,[1]Tabelle1!$C$2:$C$196)</f>
        <v>americas</v>
      </c>
      <c r="D146" t="s">
        <v>434</v>
      </c>
      <c r="E146" s="17" t="str">
        <f>_xlfn.XLOOKUP(A146,[2]lex!$A$2:$A$195, [2]lex!$HU$2:$HU$195)</f>
        <v>73.4</v>
      </c>
      <c r="F146" s="17" t="str">
        <f>_xlfn.XLOOKUP(A146,[3]gdp_pcap!$A$2:$A$194,[3]gdp_pcap!$HT$2:$HT$194 )</f>
        <v>17153.71862</v>
      </c>
      <c r="G146" s="17" t="str">
        <f>_xlfn.XLOOKUP($A146,[4]ag_lnd_totl_k2!$A$2:$A$195, [4]ag_lnd_totl_k2!$BM$2:$BM$195)</f>
        <v>396012.03</v>
      </c>
      <c r="H146" s="17" t="str">
        <f>_xlfn.XLOOKUP($A146,[5]industrial_water_withdrawal_per!$A$2:$A$179,[5]industrial_water_withdrawal_per!$BH$2:$BH$179 )</f>
        <v>6.3821</v>
      </c>
      <c r="I146" s="17" t="str">
        <f>_xlfn.XLOOKUP($A146,[6]agricultural_water_withdrawal_p!$A$2:$A$180,[6]agricultural_water_withdrawal_p!$BH$2:$BH$180 )</f>
        <v>78.616</v>
      </c>
      <c r="J146" s="17" t="str">
        <f>_xlfn.XLOOKUP($A146,[7]total_water_withdrawal_billion_!$A$2:$A$180, [7]total_water_withdrawal_billion_!$BK$2:$BK$180  )</f>
        <v>2.413</v>
      </c>
      <c r="K146" s="17" t="str">
        <f>_xlfn.XLOOKUP($A146,[8]hydro_power_generation_total!$A$2:$A$119,[8]hydro_power_generation_total!$BA$2:$BA$119 )</f>
        <v>4649000</v>
      </c>
      <c r="L146" s="17" t="str">
        <f>_xlfn.XLOOKUP($A146,[9]ag_lnd_prcp_mm!$A$2:$A$182, [9]ag_lnd_prcp_mm!$BL$2:$BL$182)</f>
        <v>1130</v>
      </c>
      <c r="M146" s="17" t="str">
        <f>_xlfn.XLOOKUP($A146,[10]co2_pcap_cons!$A$2:$A$193, [10]co2_pcap_cons!$HQ$2:$HQ$193)</f>
        <v>2</v>
      </c>
      <c r="N146" s="17" t="str">
        <f>_xlfn.XLOOKUP($A146,[11]primary_forest_area_ha!$A$2:$A$193, [11]primary_forest_area_ha!$AD$2:$AD$193)</f>
        <v>1884000</v>
      </c>
      <c r="O146" s="17" t="str">
        <f>_xlfn.XLOOKUP($A146,[12]en_mam_thrd_no!$A$2:$A$195,[12]en_mam_thrd_no!$G$2:$G$195)</f>
        <v>11</v>
      </c>
      <c r="P146" s="17">
        <f>_xlfn.XLOOKUP($A146,[13]en_fsh_thrd_no!$A$2:$A$195,[13]en_fsh_thrd_no!$G$2:$G$195)</f>
        <v>0</v>
      </c>
      <c r="Q146" s="17" t="str">
        <f>_xlfn.XLOOKUP($A146,[14]en_bir_thrd_no!$A$2:$A$195,[14]en_bir_thrd_no!$G$2:$G$195)</f>
        <v>28</v>
      </c>
      <c r="R146" s="17" t="str">
        <f>_xlfn.XLOOKUP($A146,[15]en_hpt_thrd_no!$A$2:$A$195,[15]en_hpt_thrd_no!$G$2:$G$195)</f>
        <v>22</v>
      </c>
      <c r="S146" s="17" t="str">
        <f>_xlfn.XLOOKUP($A146,[16]er_lnd_ptld_zs!$A$2:$A$194, [16]er_lnd_ptld_zs!$O$2:$O$194)</f>
        <v>14.9</v>
      </c>
      <c r="T146" s="17" t="e">
        <f>_xlfn.XLOOKUP($A146,[17]er_mrn_ptmr_zs!$A$2:$A$155,[17]er_mrn_ptmr_zs!$O$2:$O$155)</f>
        <v>#N/A</v>
      </c>
    </row>
    <row r="147" spans="1:20" x14ac:dyDescent="0.2">
      <c r="A147" t="s">
        <v>435</v>
      </c>
      <c r="B147" t="s">
        <v>436</v>
      </c>
      <c r="C147" s="18" t="str">
        <f>_xlfn.XLOOKUP(A147,[1]Tabelle1!$A$2:$A$196,[1]Tabelle1!$C$2:$C$196)</f>
        <v>asia</v>
      </c>
      <c r="D147" t="s">
        <v>437</v>
      </c>
      <c r="E147" s="17" t="str">
        <f>_xlfn.XLOOKUP(A147,[2]lex!$A$2:$A$195, [2]lex!$HU$2:$HU$195)</f>
        <v>78.23</v>
      </c>
      <c r="F147" s="17" t="str">
        <f>_xlfn.XLOOKUP(A147,[3]gdp_pcap!$A$2:$A$194,[3]gdp_pcap!$HT$2:$HT$194 )</f>
        <v>3909.19827</v>
      </c>
      <c r="G147" s="17" t="str">
        <f>_xlfn.XLOOKUP($A147,[4]ag_lnd_totl_k2!$A$2:$A$195, [4]ag_lnd_totl_k2!$BM$2:$BM$195)</f>
        <v>6025</v>
      </c>
      <c r="H147" s="17" t="str">
        <f>_xlfn.XLOOKUP($A147,[5]industrial_water_withdrawal_per!$A$2:$A$179,[5]industrial_water_withdrawal_per!$BH$2:$BH$179 )</f>
        <v>8.296</v>
      </c>
      <c r="I147" s="17" t="str">
        <f>_xlfn.XLOOKUP($A147,[6]agricultural_water_withdrawal_p!$A$2:$A$180,[6]agricultural_water_withdrawal_p!$BH$2:$BH$180 )</f>
        <v>35.426</v>
      </c>
      <c r="J147" s="17" t="str">
        <f>_xlfn.XLOOKUP($A147,[7]total_water_withdrawal_billion_!$A$2:$A$180, [7]total_water_withdrawal_billion_!$BK$2:$BK$180  )</f>
        <v>0.446</v>
      </c>
      <c r="K147" s="17" t="e">
        <f>_xlfn.XLOOKUP($A147,[8]hydro_power_generation_total!$A$2:$A$119,[8]hydro_power_generation_total!$BA$2:$BA$119 )</f>
        <v>#N/A</v>
      </c>
      <c r="L147" s="17">
        <f>_xlfn.XLOOKUP($A147,[9]ag_lnd_prcp_mm!$A$2:$A$182, [9]ag_lnd_prcp_mm!$BL$2:$BL$182)</f>
        <v>0</v>
      </c>
      <c r="M147" s="17" t="str">
        <f>_xlfn.XLOOKUP($A147,[10]co2_pcap_cons!$A$2:$A$193, [10]co2_pcap_cons!$HQ$2:$HQ$193)</f>
        <v>0.733</v>
      </c>
      <c r="N147" s="17">
        <f>_xlfn.XLOOKUP($A147,[11]primary_forest_area_ha!$A$2:$A$193, [11]primary_forest_area_ha!$AD$2:$AD$193)</f>
        <v>0</v>
      </c>
      <c r="O147" s="17" t="str">
        <f>_xlfn.XLOOKUP($A147,[12]en_mam_thrd_no!$A$2:$A$195,[12]en_mam_thrd_no!$G$2:$G$195)</f>
        <v>5</v>
      </c>
      <c r="P147" s="17" t="str">
        <f>_xlfn.XLOOKUP($A147,[13]en_fsh_thrd_no!$A$2:$A$195,[13]en_fsh_thrd_no!$G$2:$G$195)</f>
        <v>16</v>
      </c>
      <c r="Q147" s="17" t="str">
        <f>_xlfn.XLOOKUP($A147,[14]en_bir_thrd_no!$A$2:$A$195,[14]en_bir_thrd_no!$G$2:$G$195)</f>
        <v>16</v>
      </c>
      <c r="R147" s="17" t="str">
        <f>_xlfn.XLOOKUP($A147,[15]en_hpt_thrd_no!$A$2:$A$195,[15]en_hpt_thrd_no!$G$2:$G$195)</f>
        <v>11</v>
      </c>
      <c r="S147" s="17" t="str">
        <f>_xlfn.XLOOKUP($A147,[16]er_lnd_ptld_zs!$A$2:$A$194, [16]er_lnd_ptld_zs!$O$2:$O$194)</f>
        <v>10</v>
      </c>
      <c r="T147" s="17">
        <f>_xlfn.XLOOKUP($A147,[17]er_mrn_ptmr_zs!$A$2:$A$155,[17]er_mrn_ptmr_zs!$O$2:$O$155)</f>
        <v>0</v>
      </c>
    </row>
    <row r="148" spans="1:20" x14ac:dyDescent="0.2">
      <c r="A148" t="s">
        <v>438</v>
      </c>
      <c r="B148" t="s">
        <v>439</v>
      </c>
      <c r="C148" s="18" t="str">
        <f>_xlfn.XLOOKUP(A148,[1]Tabelle1!$A$2:$A$196,[1]Tabelle1!$C$2:$C$196)</f>
        <v>asia</v>
      </c>
      <c r="D148" t="s">
        <v>440</v>
      </c>
      <c r="E148" s="17" t="str">
        <f>_xlfn.XLOOKUP(A148,[2]lex!$A$2:$A$195, [2]lex!$HU$2:$HU$195)</f>
        <v>81.8</v>
      </c>
      <c r="F148" s="17" t="str">
        <f>_xlfn.XLOOKUP(A148,[3]gdp_pcap!$A$2:$A$194,[3]gdp_pcap!$HT$2:$HT$194 )</f>
        <v>116057.3359</v>
      </c>
      <c r="G148" s="17" t="str">
        <f>_xlfn.XLOOKUP($A148,[4]ag_lnd_totl_k2!$A$2:$A$195, [4]ag_lnd_totl_k2!$BM$2:$BM$195)</f>
        <v>11490</v>
      </c>
      <c r="H148" s="17" t="str">
        <f>_xlfn.XLOOKUP($A148,[5]industrial_water_withdrawal_per!$A$2:$A$179,[5]industrial_water_withdrawal_per!$BH$2:$BH$179 )</f>
        <v>4.301</v>
      </c>
      <c r="I148" s="17" t="str">
        <f>_xlfn.XLOOKUP($A148,[6]agricultural_water_withdrawal_p!$A$2:$A$180,[6]agricultural_water_withdrawal_p!$BH$2:$BH$180 )</f>
        <v>33.307</v>
      </c>
      <c r="J148" s="17" t="str">
        <f>_xlfn.XLOOKUP($A148,[7]total_water_withdrawal_billion_!$A$2:$A$180, [7]total_water_withdrawal_billion_!$BK$2:$BK$180  )</f>
        <v>0.9342</v>
      </c>
      <c r="K148" s="17" t="e">
        <f>_xlfn.XLOOKUP($A148,[8]hydro_power_generation_total!$A$2:$A$119,[8]hydro_power_generation_total!$BA$2:$BA$119 )</f>
        <v>#N/A</v>
      </c>
      <c r="L148" s="17" t="str">
        <f>_xlfn.XLOOKUP($A148,[9]ag_lnd_prcp_mm!$A$2:$A$182, [9]ag_lnd_prcp_mm!$BL$2:$BL$182)</f>
        <v>74</v>
      </c>
      <c r="M148" s="17" t="str">
        <f>_xlfn.XLOOKUP($A148,[10]co2_pcap_cons!$A$2:$A$193, [10]co2_pcap_cons!$HQ$2:$HQ$193)</f>
        <v>27.259</v>
      </c>
      <c r="N148" s="17">
        <f>_xlfn.XLOOKUP($A148,[11]primary_forest_area_ha!$A$2:$A$193, [11]primary_forest_area_ha!$AD$2:$AD$193)</f>
        <v>0</v>
      </c>
      <c r="O148" s="17" t="str">
        <f>_xlfn.XLOOKUP($A148,[12]en_mam_thrd_no!$A$2:$A$195,[12]en_mam_thrd_no!$G$2:$G$195)</f>
        <v>4</v>
      </c>
      <c r="P148" s="17" t="str">
        <f>_xlfn.XLOOKUP($A148,[13]en_fsh_thrd_no!$A$2:$A$195,[13]en_fsh_thrd_no!$G$2:$G$195)</f>
        <v>42</v>
      </c>
      <c r="Q148" s="17" t="str">
        <f>_xlfn.XLOOKUP($A148,[14]en_bir_thrd_no!$A$2:$A$195,[14]en_bir_thrd_no!$G$2:$G$195)</f>
        <v>10</v>
      </c>
      <c r="R148" s="17">
        <f>_xlfn.XLOOKUP($A148,[15]en_hpt_thrd_no!$A$2:$A$195,[15]en_hpt_thrd_no!$G$2:$G$195)</f>
        <v>0</v>
      </c>
      <c r="S148" s="17" t="str">
        <f>_xlfn.XLOOKUP($A148,[16]er_lnd_ptld_zs!$A$2:$A$194, [16]er_lnd_ptld_zs!$O$2:$O$194)</f>
        <v>15.6</v>
      </c>
      <c r="T148" s="17" t="str">
        <f>_xlfn.XLOOKUP($A148,[17]er_mrn_ptmr_zs!$A$2:$A$155,[17]er_mrn_ptmr_zs!$O$2:$O$155)</f>
        <v>2.3</v>
      </c>
    </row>
    <row r="149" spans="1:20" x14ac:dyDescent="0.2">
      <c r="A149" t="s">
        <v>441</v>
      </c>
      <c r="B149" t="s">
        <v>442</v>
      </c>
      <c r="C149" s="18" t="str">
        <f>_xlfn.XLOOKUP(A149,[1]Tabelle1!$A$2:$A$196,[1]Tabelle1!$C$2:$C$196)</f>
        <v>europe</v>
      </c>
      <c r="D149" t="s">
        <v>443</v>
      </c>
      <c r="E149" s="17" t="str">
        <f>_xlfn.XLOOKUP(A149,[2]lex!$A$2:$A$195, [2]lex!$HU$2:$HU$195)</f>
        <v>76.8</v>
      </c>
      <c r="F149" s="17" t="str">
        <f>_xlfn.XLOOKUP(A149,[3]gdp_pcap!$A$2:$A$194,[3]gdp_pcap!$HT$2:$HT$194 )</f>
        <v>42605.11998</v>
      </c>
      <c r="G149" s="17" t="str">
        <f>_xlfn.XLOOKUP($A149,[4]ag_lnd_totl_k2!$A$2:$A$195, [4]ag_lnd_totl_k2!$BM$2:$BM$195)</f>
        <v>230080</v>
      </c>
      <c r="H149" s="17" t="str">
        <f>_xlfn.XLOOKUP($A149,[5]industrial_water_withdrawal_per!$A$2:$A$179,[5]industrial_water_withdrawal_per!$BH$2:$BH$179 )</f>
        <v>48.338</v>
      </c>
      <c r="I149" s="17" t="str">
        <f>_xlfn.XLOOKUP($A149,[6]agricultural_water_withdrawal_p!$A$2:$A$180,[6]agricultural_water_withdrawal_p!$BH$2:$BH$180 )</f>
        <v>36.253</v>
      </c>
      <c r="J149" s="17" t="str">
        <f>_xlfn.XLOOKUP($A149,[7]total_water_withdrawal_billion_!$A$2:$A$180, [7]total_water_withdrawal_billion_!$BK$2:$BK$180  )</f>
        <v>8.151</v>
      </c>
      <c r="K149" s="17" t="str">
        <f>_xlfn.XLOOKUP($A149,[8]hydro_power_generation_total!$A$2:$A$119,[8]hydro_power_generation_total!$BA$2:$BA$119 )</f>
        <v>1679000</v>
      </c>
      <c r="L149" s="17" t="str">
        <f>_xlfn.XLOOKUP($A149,[9]ag_lnd_prcp_mm!$A$2:$A$182, [9]ag_lnd_prcp_mm!$BL$2:$BL$182)</f>
        <v>637</v>
      </c>
      <c r="M149" s="17" t="str">
        <f>_xlfn.XLOOKUP($A149,[10]co2_pcap_cons!$A$2:$A$193, [10]co2_pcap_cons!$HQ$2:$HQ$193)</f>
        <v>4.363</v>
      </c>
      <c r="N149" s="17" t="str">
        <f>_xlfn.XLOOKUP($A149,[11]primary_forest_area_ha!$A$2:$A$193, [11]primary_forest_area_ha!$AD$2:$AD$193)</f>
        <v>283000</v>
      </c>
      <c r="O149" s="17" t="str">
        <f>_xlfn.XLOOKUP($A149,[12]en_mam_thrd_no!$A$2:$A$195,[12]en_mam_thrd_no!$G$2:$G$195)</f>
        <v>14</v>
      </c>
      <c r="P149" s="17" t="str">
        <f>_xlfn.XLOOKUP($A149,[13]en_fsh_thrd_no!$A$2:$A$195,[13]en_fsh_thrd_no!$G$2:$G$195)</f>
        <v>21</v>
      </c>
      <c r="Q149" s="17" t="str">
        <f>_xlfn.XLOOKUP($A149,[14]en_bir_thrd_no!$A$2:$A$195,[14]en_bir_thrd_no!$G$2:$G$195)</f>
        <v>18</v>
      </c>
      <c r="R149" s="17" t="str">
        <f>_xlfn.XLOOKUP($A149,[15]en_hpt_thrd_no!$A$2:$A$195,[15]en_hpt_thrd_no!$G$2:$G$195)</f>
        <v>14</v>
      </c>
      <c r="S149" s="17" t="str">
        <f>_xlfn.XLOOKUP($A149,[16]er_lnd_ptld_zs!$A$2:$A$194, [16]er_lnd_ptld_zs!$O$2:$O$194)</f>
        <v>24.6</v>
      </c>
      <c r="T149" s="17" t="str">
        <f>_xlfn.XLOOKUP($A149,[17]er_mrn_ptmr_zs!$A$2:$A$155,[17]er_mrn_ptmr_zs!$O$2:$O$155)</f>
        <v>21.5</v>
      </c>
    </row>
    <row r="150" spans="1:20" x14ac:dyDescent="0.2">
      <c r="A150" t="s">
        <v>444</v>
      </c>
      <c r="B150" t="s">
        <v>445</v>
      </c>
      <c r="C150" s="18" t="str">
        <f>_xlfn.XLOOKUP(A150,[1]Tabelle1!$A$2:$A$196,[1]Tabelle1!$C$2:$C$196)</f>
        <v>europe</v>
      </c>
      <c r="D150" t="s">
        <v>446</v>
      </c>
      <c r="E150" s="17" t="str">
        <f>_xlfn.XLOOKUP(A150,[2]lex!$A$2:$A$195, [2]lex!$HU$2:$HU$195)</f>
        <v>73.7</v>
      </c>
      <c r="F150" s="17" t="str">
        <f>_xlfn.XLOOKUP(A150,[3]gdp_pcap!$A$2:$A$194,[3]gdp_pcap!$HT$2:$HT$194 )</f>
        <v>40870.61672</v>
      </c>
      <c r="G150" s="17" t="str">
        <f>_xlfn.XLOOKUP($A150,[4]ag_lnd_totl_k2!$A$2:$A$195, [4]ag_lnd_totl_k2!$BM$2:$BM$195)</f>
        <v>16376870</v>
      </c>
      <c r="H150" s="17" t="str">
        <f>_xlfn.XLOOKUP($A150,[5]industrial_water_withdrawal_per!$A$2:$A$179,[5]industrial_water_withdrawal_per!$BH$2:$BH$179 )</f>
        <v>44.786</v>
      </c>
      <c r="I150" s="17" t="str">
        <f>_xlfn.XLOOKUP($A150,[6]agricultural_water_withdrawal_p!$A$2:$A$180,[6]agricultural_water_withdrawal_p!$BH$2:$BH$180 )</f>
        <v>28.757</v>
      </c>
      <c r="J150" s="17" t="str">
        <f>_xlfn.XLOOKUP($A150,[7]total_water_withdrawal_billion_!$A$2:$A$180, [7]total_water_withdrawal_billion_!$BK$2:$BK$180  )</f>
        <v>64.82</v>
      </c>
      <c r="K150" s="17" t="str">
        <f>_xlfn.XLOOKUP($A150,[8]hydro_power_generation_total!$A$2:$A$119,[8]hydro_power_generation_total!$BA$2:$BA$119 )</f>
        <v>14310000</v>
      </c>
      <c r="L150" s="17" t="str">
        <f>_xlfn.XLOOKUP($A150,[9]ag_lnd_prcp_mm!$A$2:$A$182, [9]ag_lnd_prcp_mm!$BL$2:$BL$182)</f>
        <v>460</v>
      </c>
      <c r="M150" s="17" t="str">
        <f>_xlfn.XLOOKUP($A150,[10]co2_pcap_cons!$A$2:$A$193, [10]co2_pcap_cons!$HQ$2:$HQ$193)</f>
        <v>9.968</v>
      </c>
      <c r="N150" s="17" t="str">
        <f>_xlfn.XLOOKUP($A150,[11]primary_forest_area_ha!$A$2:$A$193, [11]primary_forest_area_ha!$AD$2:$AD$193)</f>
        <v>272718000</v>
      </c>
      <c r="O150" s="17" t="str">
        <f>_xlfn.XLOOKUP($A150,[12]en_mam_thrd_no!$A$2:$A$195,[12]en_mam_thrd_no!$G$2:$G$195)</f>
        <v>33</v>
      </c>
      <c r="P150" s="17" t="str">
        <f>_xlfn.XLOOKUP($A150,[13]en_fsh_thrd_no!$A$2:$A$195,[13]en_fsh_thrd_no!$G$2:$G$195)</f>
        <v>64</v>
      </c>
      <c r="Q150" s="17" t="str">
        <f>_xlfn.XLOOKUP($A150,[14]en_bir_thrd_no!$A$2:$A$195,[14]en_bir_thrd_no!$G$2:$G$195)</f>
        <v>58</v>
      </c>
      <c r="R150" s="17" t="str">
        <f>_xlfn.XLOOKUP($A150,[15]en_hpt_thrd_no!$A$2:$A$195,[15]en_hpt_thrd_no!$G$2:$G$195)</f>
        <v>68</v>
      </c>
      <c r="S150" s="17" t="str">
        <f>_xlfn.XLOOKUP($A150,[16]er_lnd_ptld_zs!$A$2:$A$194, [16]er_lnd_ptld_zs!$O$2:$O$194)</f>
        <v>11.5</v>
      </c>
      <c r="T150" s="17" t="str">
        <f>_xlfn.XLOOKUP($A150,[17]er_mrn_ptmr_zs!$A$2:$A$155,[17]er_mrn_ptmr_zs!$O$2:$O$155)</f>
        <v>2.2</v>
      </c>
    </row>
    <row r="151" spans="1:20" x14ac:dyDescent="0.2">
      <c r="A151" t="s">
        <v>447</v>
      </c>
      <c r="B151" t="s">
        <v>448</v>
      </c>
      <c r="C151" s="18" t="str">
        <f>_xlfn.XLOOKUP(A151,[1]Tabelle1!$A$2:$A$196,[1]Tabelle1!$C$2:$C$196)</f>
        <v>africa</v>
      </c>
      <c r="D151" t="s">
        <v>449</v>
      </c>
      <c r="E151" s="17" t="str">
        <f>_xlfn.XLOOKUP(A151,[2]lex!$A$2:$A$195, [2]lex!$HU$2:$HU$195)</f>
        <v>65.37</v>
      </c>
      <c r="F151" s="17" t="str">
        <f>_xlfn.XLOOKUP(A151,[3]gdp_pcap!$A$2:$A$194,[3]gdp_pcap!$HT$2:$HT$194 )</f>
        <v>3512.30613</v>
      </c>
      <c r="G151" s="17" t="str">
        <f>_xlfn.XLOOKUP($A151,[4]ag_lnd_totl_k2!$A$2:$A$195, [4]ag_lnd_totl_k2!$BM$2:$BM$195)</f>
        <v>24670</v>
      </c>
      <c r="H151" s="17" t="str">
        <f>_xlfn.XLOOKUP($A151,[5]industrial_water_withdrawal_per!$A$2:$A$179,[5]industrial_water_withdrawal_per!$BH$2:$BH$179 )</f>
        <v>1.6639</v>
      </c>
      <c r="I151" s="17" t="str">
        <f>_xlfn.XLOOKUP($A151,[6]agricultural_water_withdrawal_p!$A$2:$A$180,[6]agricultural_water_withdrawal_p!$BH$2:$BH$180 )</f>
        <v>60.067</v>
      </c>
      <c r="J151" s="17" t="str">
        <f>_xlfn.XLOOKUP($A151,[7]total_water_withdrawal_billion_!$A$2:$A$180, [7]total_water_withdrawal_billion_!$BK$2:$BK$180  )</f>
        <v>0.601</v>
      </c>
      <c r="K151" s="17" t="e">
        <f>_xlfn.XLOOKUP($A151,[8]hydro_power_generation_total!$A$2:$A$119,[8]hydro_power_generation_total!$BA$2:$BA$119 )</f>
        <v>#N/A</v>
      </c>
      <c r="L151" s="17" t="str">
        <f>_xlfn.XLOOKUP($A151,[9]ag_lnd_prcp_mm!$A$2:$A$182, [9]ag_lnd_prcp_mm!$BL$2:$BL$182)</f>
        <v>1212</v>
      </c>
      <c r="M151" s="17" t="str">
        <f>_xlfn.XLOOKUP($A151,[10]co2_pcap_cons!$A$2:$A$193, [10]co2_pcap_cons!$HQ$2:$HQ$193)</f>
        <v>0.179</v>
      </c>
      <c r="N151" s="17" t="str">
        <f>_xlfn.XLOOKUP($A151,[11]primary_forest_area_ha!$A$2:$A$193, [11]primary_forest_area_ha!$AD$2:$AD$193)</f>
        <v>7000</v>
      </c>
      <c r="O151" s="17" t="str">
        <f>_xlfn.XLOOKUP($A151,[12]en_mam_thrd_no!$A$2:$A$195,[12]en_mam_thrd_no!$G$2:$G$195)</f>
        <v>24</v>
      </c>
      <c r="P151" s="17" t="str">
        <f>_xlfn.XLOOKUP($A151,[13]en_fsh_thrd_no!$A$2:$A$195,[13]en_fsh_thrd_no!$G$2:$G$195)</f>
        <v>7</v>
      </c>
      <c r="Q151" s="17" t="str">
        <f>_xlfn.XLOOKUP($A151,[14]en_bir_thrd_no!$A$2:$A$195,[14]en_bir_thrd_no!$G$2:$G$195)</f>
        <v>20</v>
      </c>
      <c r="R151" s="17" t="str">
        <f>_xlfn.XLOOKUP($A151,[15]en_hpt_thrd_no!$A$2:$A$195,[15]en_hpt_thrd_no!$G$2:$G$195)</f>
        <v>134</v>
      </c>
      <c r="S151" s="17" t="str">
        <f>_xlfn.XLOOKUP($A151,[16]er_lnd_ptld_zs!$A$2:$A$194, [16]er_lnd_ptld_zs!$O$2:$O$194)</f>
        <v>9.1</v>
      </c>
      <c r="T151" s="17" t="e">
        <f>_xlfn.XLOOKUP($A151,[17]er_mrn_ptmr_zs!$A$2:$A$155,[17]er_mrn_ptmr_zs!$O$2:$O$155)</f>
        <v>#N/A</v>
      </c>
    </row>
    <row r="152" spans="1:20" x14ac:dyDescent="0.2">
      <c r="A152" t="s">
        <v>450</v>
      </c>
      <c r="B152" t="s">
        <v>451</v>
      </c>
      <c r="C152" s="18" t="str">
        <f>_xlfn.XLOOKUP(A152,[1]Tabelle1!$A$2:$A$196,[1]Tabelle1!$C$2:$C$196)</f>
        <v>asia</v>
      </c>
      <c r="D152" t="s">
        <v>452</v>
      </c>
      <c r="E152" s="17" t="str">
        <f>_xlfn.XLOOKUP(A152,[2]lex!$A$2:$A$195, [2]lex!$HU$2:$HU$195)</f>
        <v>75.16</v>
      </c>
      <c r="F152" s="17" t="str">
        <f>_xlfn.XLOOKUP(A152,[3]gdp_pcap!$A$2:$A$194,[3]gdp_pcap!$HT$2:$HT$194 )</f>
        <v>64965.70305</v>
      </c>
      <c r="G152" s="17" t="str">
        <f>_xlfn.XLOOKUP($A152,[4]ag_lnd_totl_k2!$A$2:$A$195, [4]ag_lnd_totl_k2!$BM$2:$BM$195)</f>
        <v>2149690</v>
      </c>
      <c r="H152" s="17" t="str">
        <f>_xlfn.XLOOKUP($A152,[5]industrial_water_withdrawal_per!$A$2:$A$179,[5]industrial_water_withdrawal_per!$BH$2:$BH$179 )</f>
        <v>5.3863</v>
      </c>
      <c r="I152" s="17" t="str">
        <f>_xlfn.XLOOKUP($A152,[6]agricultural_water_withdrawal_p!$A$2:$A$180,[6]agricultural_water_withdrawal_p!$BH$2:$BH$180 )</f>
        <v>81.564</v>
      </c>
      <c r="J152" s="17" t="str">
        <f>_xlfn.XLOOKUP($A152,[7]total_water_withdrawal_billion_!$A$2:$A$180, [7]total_water_withdrawal_billion_!$BK$2:$BK$180  )</f>
        <v>25.992</v>
      </c>
      <c r="K152" s="17" t="e">
        <f>_xlfn.XLOOKUP($A152,[8]hydro_power_generation_total!$A$2:$A$119,[8]hydro_power_generation_total!$BA$2:$BA$119 )</f>
        <v>#N/A</v>
      </c>
      <c r="L152" s="17" t="str">
        <f>_xlfn.XLOOKUP($A152,[9]ag_lnd_prcp_mm!$A$2:$A$182, [9]ag_lnd_prcp_mm!$BL$2:$BL$182)</f>
        <v>59</v>
      </c>
      <c r="M152" s="17" t="str">
        <f>_xlfn.XLOOKUP($A152,[10]co2_pcap_cons!$A$2:$A$193, [10]co2_pcap_cons!$HQ$2:$HQ$193)</f>
        <v>18.425</v>
      </c>
      <c r="N152" s="17" t="e">
        <f>_xlfn.XLOOKUP($A152,[11]primary_forest_area_ha!$A$2:$A$193, [11]primary_forest_area_ha!$AD$2:$AD$193)</f>
        <v>#N/A</v>
      </c>
      <c r="O152" s="17" t="str">
        <f>_xlfn.XLOOKUP($A152,[12]en_mam_thrd_no!$A$2:$A$195,[12]en_mam_thrd_no!$G$2:$G$195)</f>
        <v>11</v>
      </c>
      <c r="P152" s="17" t="str">
        <f>_xlfn.XLOOKUP($A152,[13]en_fsh_thrd_no!$A$2:$A$195,[13]en_fsh_thrd_no!$G$2:$G$195)</f>
        <v>72</v>
      </c>
      <c r="Q152" s="17" t="str">
        <f>_xlfn.XLOOKUP($A152,[14]en_bir_thrd_no!$A$2:$A$195,[14]en_bir_thrd_no!$G$2:$G$195)</f>
        <v>19</v>
      </c>
      <c r="R152" s="17" t="str">
        <f>_xlfn.XLOOKUP($A152,[15]en_hpt_thrd_no!$A$2:$A$195,[15]en_hpt_thrd_no!$G$2:$G$195)</f>
        <v>5</v>
      </c>
      <c r="S152" s="17" t="str">
        <f>_xlfn.XLOOKUP($A152,[16]er_lnd_ptld_zs!$A$2:$A$194, [16]er_lnd_ptld_zs!$O$2:$O$194)</f>
        <v>18.5</v>
      </c>
      <c r="T152" s="17" t="str">
        <f>_xlfn.XLOOKUP($A152,[17]er_mrn_ptmr_zs!$A$2:$A$155,[17]er_mrn_ptmr_zs!$O$2:$O$155)</f>
        <v>3.5</v>
      </c>
    </row>
    <row r="153" spans="1:20" x14ac:dyDescent="0.2">
      <c r="A153" t="s">
        <v>453</v>
      </c>
      <c r="B153" t="s">
        <v>454</v>
      </c>
      <c r="C153" s="18" t="str">
        <f>_xlfn.XLOOKUP(A153,[1]Tabelle1!$A$2:$A$196,[1]Tabelle1!$C$2:$C$196)</f>
        <v>africa</v>
      </c>
      <c r="D153" t="s">
        <v>455</v>
      </c>
      <c r="E153" s="17" t="str">
        <f>_xlfn.XLOOKUP(A153,[2]lex!$A$2:$A$195, [2]lex!$HU$2:$HU$195)</f>
        <v>69.52</v>
      </c>
      <c r="F153" s="17" t="str">
        <f>_xlfn.XLOOKUP(A153,[3]gdp_pcap!$A$2:$A$194,[3]gdp_pcap!$HT$2:$HT$194 )</f>
        <v>1865.51403</v>
      </c>
      <c r="G153" s="17" t="str">
        <f>_xlfn.XLOOKUP($A153,[4]ag_lnd_totl_k2!$A$2:$A$195, [4]ag_lnd_totl_k2!$BM$2:$BM$195)</f>
        <v>1868000</v>
      </c>
      <c r="H153" s="17" t="str">
        <f>_xlfn.XLOOKUP($A153,[5]industrial_water_withdrawal_per!$A$2:$A$179,[5]industrial_water_withdrawal_per!$BH$2:$BH$179 )</f>
        <v>0.27845</v>
      </c>
      <c r="I153" s="17" t="str">
        <f>_xlfn.XLOOKUP($A153,[6]agricultural_water_withdrawal_p!$A$2:$A$180,[6]agricultural_water_withdrawal_p!$BH$2:$BH$180 )</f>
        <v>96.195</v>
      </c>
      <c r="J153" s="17" t="str">
        <f>_xlfn.XLOOKUP($A153,[7]total_water_withdrawal_billion_!$A$2:$A$180, [7]total_water_withdrawal_billion_!$BK$2:$BK$180  )</f>
        <v>26.935</v>
      </c>
      <c r="K153" s="17" t="str">
        <f>_xlfn.XLOOKUP($A153,[8]hydro_power_generation_total!$A$2:$A$119,[8]hydro_power_generation_total!$BA$2:$BA$119 )</f>
        <v>330400</v>
      </c>
      <c r="L153" s="17" t="str">
        <f>_xlfn.XLOOKUP($A153,[9]ag_lnd_prcp_mm!$A$2:$A$182, [9]ag_lnd_prcp_mm!$BL$2:$BL$182)</f>
        <v>250</v>
      </c>
      <c r="M153" s="17" t="str">
        <f>_xlfn.XLOOKUP($A153,[10]co2_pcap_cons!$A$2:$A$193, [10]co2_pcap_cons!$HQ$2:$HQ$193)</f>
        <v>0.55</v>
      </c>
      <c r="N153" s="17" t="str">
        <f>_xlfn.XLOOKUP($A153,[11]primary_forest_area_ha!$A$2:$A$193, [11]primary_forest_area_ha!$AD$2:$AD$193)</f>
        <v>1344696</v>
      </c>
      <c r="O153" s="17" t="str">
        <f>_xlfn.XLOOKUP($A153,[12]en_mam_thrd_no!$A$2:$A$195,[12]en_mam_thrd_no!$G$2:$G$195)</f>
        <v>19</v>
      </c>
      <c r="P153" s="17" t="str">
        <f>_xlfn.XLOOKUP($A153,[13]en_fsh_thrd_no!$A$2:$A$195,[13]en_fsh_thrd_no!$G$2:$G$195)</f>
        <v>52</v>
      </c>
      <c r="Q153" s="17" t="str">
        <f>_xlfn.XLOOKUP($A153,[14]en_bir_thrd_no!$A$2:$A$195,[14]en_bir_thrd_no!$G$2:$G$195)</f>
        <v>27</v>
      </c>
      <c r="R153" s="17" t="str">
        <f>_xlfn.XLOOKUP($A153,[15]en_hpt_thrd_no!$A$2:$A$195,[15]en_hpt_thrd_no!$G$2:$G$195)</f>
        <v>16</v>
      </c>
      <c r="S153" s="17" t="str">
        <f>_xlfn.XLOOKUP($A153,[16]er_lnd_ptld_zs!$A$2:$A$194, [16]er_lnd_ptld_zs!$O$2:$O$194)</f>
        <v>2.8</v>
      </c>
      <c r="T153" s="17" t="str">
        <f>_xlfn.XLOOKUP($A153,[17]er_mrn_ptmr_zs!$A$2:$A$155,[17]er_mrn_ptmr_zs!$O$2:$O$155)</f>
        <v>17</v>
      </c>
    </row>
    <row r="154" spans="1:20" x14ac:dyDescent="0.2">
      <c r="A154" t="s">
        <v>456</v>
      </c>
      <c r="B154" t="s">
        <v>457</v>
      </c>
      <c r="C154" s="18" t="str">
        <f>_xlfn.XLOOKUP(A154,[1]Tabelle1!$A$2:$A$196,[1]Tabelle1!$C$2:$C$196)</f>
        <v>africa</v>
      </c>
      <c r="D154" t="s">
        <v>458</v>
      </c>
      <c r="E154" s="17" t="str">
        <f>_xlfn.XLOOKUP(A154,[2]lex!$A$2:$A$195, [2]lex!$HU$2:$HU$195)</f>
        <v>70.81</v>
      </c>
      <c r="F154" s="17" t="str">
        <f>_xlfn.XLOOKUP(A154,[3]gdp_pcap!$A$2:$A$194,[3]gdp_pcap!$HT$2:$HT$194 )</f>
        <v>4871.28026</v>
      </c>
      <c r="G154" s="17" t="str">
        <f>_xlfn.XLOOKUP($A154,[4]ag_lnd_totl_k2!$A$2:$A$195, [4]ag_lnd_totl_k2!$BM$2:$BM$195)</f>
        <v>192530</v>
      </c>
      <c r="H154" s="17" t="str">
        <f>_xlfn.XLOOKUP($A154,[5]industrial_water_withdrawal_per!$A$2:$A$179,[5]industrial_water_withdrawal_per!$BH$2:$BH$179 )</f>
        <v>0.04676</v>
      </c>
      <c r="I154" s="17" t="str">
        <f>_xlfn.XLOOKUP($A154,[6]agricultural_water_withdrawal_p!$A$2:$A$180,[6]agricultural_water_withdrawal_p!$BH$2:$BH$180 )</f>
        <v>91.314</v>
      </c>
      <c r="J154" s="17" t="str">
        <f>_xlfn.XLOOKUP($A154,[7]total_water_withdrawal_billion_!$A$2:$A$180, [7]total_water_withdrawal_billion_!$BK$2:$BK$180  )</f>
        <v>3.0211</v>
      </c>
      <c r="K154" s="17" t="str">
        <f>_xlfn.XLOOKUP($A154,[8]hydro_power_generation_total!$A$2:$A$119,[8]hydro_power_generation_total!$BA$2:$BA$119 )</f>
        <v>21410</v>
      </c>
      <c r="L154" s="17" t="str">
        <f>_xlfn.XLOOKUP($A154,[9]ag_lnd_prcp_mm!$A$2:$A$182, [9]ag_lnd_prcp_mm!$BL$2:$BL$182)</f>
        <v>686</v>
      </c>
      <c r="M154" s="17" t="str">
        <f>_xlfn.XLOOKUP($A154,[10]co2_pcap_cons!$A$2:$A$193, [10]co2_pcap_cons!$HQ$2:$HQ$193)</f>
        <v>1.018</v>
      </c>
      <c r="N154" s="17" t="str">
        <f>_xlfn.XLOOKUP($A154,[11]primary_forest_area_ha!$A$2:$A$193, [11]primary_forest_area_ha!$AD$2:$AD$193)</f>
        <v>1508000</v>
      </c>
      <c r="O154" s="17" t="str">
        <f>_xlfn.XLOOKUP($A154,[12]en_mam_thrd_no!$A$2:$A$195,[12]en_mam_thrd_no!$G$2:$G$195)</f>
        <v>21</v>
      </c>
      <c r="P154" s="17" t="str">
        <f>_xlfn.XLOOKUP($A154,[13]en_fsh_thrd_no!$A$2:$A$195,[13]en_fsh_thrd_no!$G$2:$G$195)</f>
        <v>89</v>
      </c>
      <c r="Q154" s="17" t="str">
        <f>_xlfn.XLOOKUP($A154,[14]en_bir_thrd_no!$A$2:$A$195,[14]en_bir_thrd_no!$G$2:$G$195)</f>
        <v>24</v>
      </c>
      <c r="R154" s="17" t="str">
        <f>_xlfn.XLOOKUP($A154,[15]en_hpt_thrd_no!$A$2:$A$195,[15]en_hpt_thrd_no!$G$2:$G$195)</f>
        <v>23</v>
      </c>
      <c r="S154" s="17" t="str">
        <f>_xlfn.XLOOKUP($A154,[16]er_lnd_ptld_zs!$A$2:$A$194, [16]er_lnd_ptld_zs!$O$2:$O$194)</f>
        <v>27.5</v>
      </c>
      <c r="T154" s="17" t="str">
        <f>_xlfn.XLOOKUP($A154,[17]er_mrn_ptmr_zs!$A$2:$A$155,[17]er_mrn_ptmr_zs!$O$2:$O$155)</f>
        <v>3.1</v>
      </c>
    </row>
    <row r="155" spans="1:20" x14ac:dyDescent="0.2">
      <c r="A155" t="s">
        <v>459</v>
      </c>
      <c r="B155" t="s">
        <v>460</v>
      </c>
      <c r="C155" s="18" t="str">
        <f>_xlfn.XLOOKUP(A155,[1]Tabelle1!$A$2:$A$196,[1]Tabelle1!$C$2:$C$196)</f>
        <v>asia</v>
      </c>
      <c r="D155" t="s">
        <v>461</v>
      </c>
      <c r="E155" s="17" t="str">
        <f>_xlfn.XLOOKUP(A155,[2]lex!$A$2:$A$195, [2]lex!$HU$2:$HU$195)</f>
        <v>85.81</v>
      </c>
      <c r="F155" s="17" t="str">
        <f>_xlfn.XLOOKUP(A155,[3]gdp_pcap!$A$2:$A$194,[3]gdp_pcap!$HT$2:$HT$194 )</f>
        <v>137905.9791</v>
      </c>
      <c r="G155" s="17" t="str">
        <f>_xlfn.XLOOKUP($A155,[4]ag_lnd_totl_k2!$A$2:$A$195, [4]ag_lnd_totl_k2!$BM$2:$BM$195)</f>
        <v>718</v>
      </c>
      <c r="H155" s="17" t="str">
        <f>_xlfn.XLOOKUP($A155,[5]industrial_water_withdrawal_per!$A$2:$A$179,[5]industrial_water_withdrawal_per!$BH$2:$BH$179 )</f>
        <v>45.069</v>
      </c>
      <c r="I155" s="17" t="e">
        <f>_xlfn.XLOOKUP($A155,[6]agricultural_water_withdrawal_p!$A$2:$A$180,[6]agricultural_water_withdrawal_p!$BH$2:$BH$180 )</f>
        <v>#REF!</v>
      </c>
      <c r="J155" s="17" t="str">
        <f>_xlfn.XLOOKUP($A155,[7]total_water_withdrawal_billion_!$A$2:$A$180, [7]total_water_withdrawal_billion_!$BK$2:$BK$180  )</f>
        <v>0.36083</v>
      </c>
      <c r="K155" s="17" t="e">
        <f>_xlfn.XLOOKUP($A155,[8]hydro_power_generation_total!$A$2:$A$119,[8]hydro_power_generation_total!$BA$2:$BA$119 )</f>
        <v>#N/A</v>
      </c>
      <c r="L155" s="17" t="str">
        <f>_xlfn.XLOOKUP($A155,[9]ag_lnd_prcp_mm!$A$2:$A$182, [9]ag_lnd_prcp_mm!$BL$2:$BL$182)</f>
        <v>2497</v>
      </c>
      <c r="M155" s="17" t="str">
        <f>_xlfn.XLOOKUP($A155,[10]co2_pcap_cons!$A$2:$A$193, [10]co2_pcap_cons!$HQ$2:$HQ$193)</f>
        <v>25.427</v>
      </c>
      <c r="N155" s="17" t="str">
        <f>_xlfn.XLOOKUP($A155,[11]primary_forest_area_ha!$A$2:$A$193, [11]primary_forest_area_ha!$AD$2:$AD$193)</f>
        <v>210</v>
      </c>
      <c r="O155" s="17" t="str">
        <f>_xlfn.XLOOKUP($A155,[12]en_mam_thrd_no!$A$2:$A$195,[12]en_mam_thrd_no!$G$2:$G$195)</f>
        <v>17</v>
      </c>
      <c r="P155" s="17" t="str">
        <f>_xlfn.XLOOKUP($A155,[13]en_fsh_thrd_no!$A$2:$A$195,[13]en_fsh_thrd_no!$G$2:$G$195)</f>
        <v>68</v>
      </c>
      <c r="Q155" s="17" t="str">
        <f>_xlfn.XLOOKUP($A155,[14]en_bir_thrd_no!$A$2:$A$195,[14]en_bir_thrd_no!$G$2:$G$195)</f>
        <v>23</v>
      </c>
      <c r="R155" s="17" t="str">
        <f>_xlfn.XLOOKUP($A155,[15]en_hpt_thrd_no!$A$2:$A$195,[15]en_hpt_thrd_no!$G$2:$G$195)</f>
        <v>69</v>
      </c>
      <c r="S155" s="17" t="str">
        <f>_xlfn.XLOOKUP($A155,[16]er_lnd_ptld_zs!$A$2:$A$194, [16]er_lnd_ptld_zs!$O$2:$O$194)</f>
        <v>4.6</v>
      </c>
      <c r="T155" s="17">
        <f>_xlfn.XLOOKUP($A155,[17]er_mrn_ptmr_zs!$A$2:$A$155,[17]er_mrn_ptmr_zs!$O$2:$O$155)</f>
        <v>0</v>
      </c>
    </row>
    <row r="156" spans="1:20" x14ac:dyDescent="0.2">
      <c r="A156" t="s">
        <v>462</v>
      </c>
      <c r="B156" t="s">
        <v>463</v>
      </c>
      <c r="C156" s="18" t="str">
        <f>_xlfn.XLOOKUP(A156,[1]Tabelle1!$A$2:$A$196,[1]Tabelle1!$C$2:$C$196)</f>
        <v>asia</v>
      </c>
      <c r="D156" t="s">
        <v>464</v>
      </c>
      <c r="E156" s="17" t="str">
        <f>_xlfn.XLOOKUP(A156,[2]lex!$A$2:$A$195, [2]lex!$HU$2:$HU$195)</f>
        <v>64.15</v>
      </c>
      <c r="F156" s="17" t="str">
        <f>_xlfn.XLOOKUP(A156,[3]gdp_pcap!$A$2:$A$194,[3]gdp_pcap!$HT$2:$HT$194 )</f>
        <v>2615.32949</v>
      </c>
      <c r="G156" s="17" t="str">
        <f>_xlfn.XLOOKUP($A156,[4]ag_lnd_totl_k2!$A$2:$A$195, [4]ag_lnd_totl_k2!$BM$2:$BM$195)</f>
        <v>27990</v>
      </c>
      <c r="H156" s="17" t="e">
        <f>_xlfn.XLOOKUP($A156,[5]industrial_water_withdrawal_per!$A$2:$A$179,[5]industrial_water_withdrawal_per!$BH$2:$BH$179 )</f>
        <v>#N/A</v>
      </c>
      <c r="I156" s="17" t="e">
        <f>_xlfn.XLOOKUP($A156,[6]agricultural_water_withdrawal_p!$A$2:$A$180,[6]agricultural_water_withdrawal_p!$BH$2:$BH$180 )</f>
        <v>#N/A</v>
      </c>
      <c r="J156" s="17" t="e">
        <f>_xlfn.XLOOKUP($A156,[7]total_water_withdrawal_billion_!$A$2:$A$180, [7]total_water_withdrawal_billion_!$BK$2:$BK$180  )</f>
        <v>#N/A</v>
      </c>
      <c r="K156" s="17" t="e">
        <f>_xlfn.XLOOKUP($A156,[8]hydro_power_generation_total!$A$2:$A$119,[8]hydro_power_generation_total!$BA$2:$BA$119 )</f>
        <v>#N/A</v>
      </c>
      <c r="L156" s="17" t="str">
        <f>_xlfn.XLOOKUP($A156,[9]ag_lnd_prcp_mm!$A$2:$A$182, [9]ag_lnd_prcp_mm!$BL$2:$BL$182)</f>
        <v>3028</v>
      </c>
      <c r="M156" s="17" t="str">
        <f>_xlfn.XLOOKUP($A156,[10]co2_pcap_cons!$A$2:$A$193, [10]co2_pcap_cons!$HQ$2:$HQ$193)</f>
        <v>0.295</v>
      </c>
      <c r="N156" s="17" t="str">
        <f>_xlfn.XLOOKUP($A156,[11]primary_forest_area_ha!$A$2:$A$193, [11]primary_forest_area_ha!$AD$2:$AD$193)</f>
        <v>1105400</v>
      </c>
      <c r="O156" s="17" t="str">
        <f>_xlfn.XLOOKUP($A156,[12]en_mam_thrd_no!$A$2:$A$195,[12]en_mam_thrd_no!$G$2:$G$195)</f>
        <v>24</v>
      </c>
      <c r="P156" s="17" t="str">
        <f>_xlfn.XLOOKUP($A156,[13]en_fsh_thrd_no!$A$2:$A$195,[13]en_fsh_thrd_no!$G$2:$G$195)</f>
        <v>43</v>
      </c>
      <c r="Q156" s="17" t="str">
        <f>_xlfn.XLOOKUP($A156,[14]en_bir_thrd_no!$A$2:$A$195,[14]en_bir_thrd_no!$G$2:$G$195)</f>
        <v>21</v>
      </c>
      <c r="R156" s="17" t="str">
        <f>_xlfn.XLOOKUP($A156,[15]en_hpt_thrd_no!$A$2:$A$195,[15]en_hpt_thrd_no!$G$2:$G$195)</f>
        <v>53</v>
      </c>
      <c r="S156" s="17" t="str">
        <f>_xlfn.XLOOKUP($A156,[16]er_lnd_ptld_zs!$A$2:$A$194, [16]er_lnd_ptld_zs!$O$2:$O$194)</f>
        <v>2.4</v>
      </c>
      <c r="T156" s="17" t="str">
        <f>_xlfn.XLOOKUP($A156,[17]er_mrn_ptmr_zs!$A$2:$A$155,[17]er_mrn_ptmr_zs!$O$2:$O$155)</f>
        <v>0.1</v>
      </c>
    </row>
    <row r="157" spans="1:20" x14ac:dyDescent="0.2">
      <c r="A157" t="s">
        <v>465</v>
      </c>
      <c r="B157" t="s">
        <v>466</v>
      </c>
      <c r="C157" s="18" t="str">
        <f>_xlfn.XLOOKUP(A157,[1]Tabelle1!$A$2:$A$196,[1]Tabelle1!$C$2:$C$196)</f>
        <v>africa</v>
      </c>
      <c r="D157" t="s">
        <v>467</v>
      </c>
      <c r="E157" s="17" t="str">
        <f>_xlfn.XLOOKUP(A157,[2]lex!$A$2:$A$195, [2]lex!$HU$2:$HU$195)</f>
        <v>59.38</v>
      </c>
      <c r="F157" s="17" t="str">
        <f>_xlfn.XLOOKUP(A157,[3]gdp_pcap!$A$2:$A$194,[3]gdp_pcap!$HT$2:$HT$194 )</f>
        <v>3255.82436</v>
      </c>
      <c r="G157" s="17" t="str">
        <f>_xlfn.XLOOKUP($A157,[4]ag_lnd_totl_k2!$A$2:$A$195, [4]ag_lnd_totl_k2!$BM$2:$BM$195)</f>
        <v>72180</v>
      </c>
      <c r="H157" s="17" t="str">
        <f>_xlfn.XLOOKUP($A157,[5]industrial_water_withdrawal_per!$A$2:$A$179,[5]industrial_water_withdrawal_per!$BH$2:$BH$179 )</f>
        <v>26.155</v>
      </c>
      <c r="I157" s="17" t="str">
        <f>_xlfn.XLOOKUP($A157,[6]agricultural_water_withdrawal_p!$A$2:$A$180,[6]agricultural_water_withdrawal_p!$BH$2:$BH$180 )</f>
        <v>21.536</v>
      </c>
      <c r="J157" s="17" t="str">
        <f>_xlfn.XLOOKUP($A157,[7]total_water_withdrawal_billion_!$A$2:$A$180, [7]total_water_withdrawal_billion_!$BK$2:$BK$180  )</f>
        <v>0.2122</v>
      </c>
      <c r="K157" s="17" t="e">
        <f>_xlfn.XLOOKUP($A157,[8]hydro_power_generation_total!$A$2:$A$119,[8]hydro_power_generation_total!$BA$2:$BA$119 )</f>
        <v>#N/A</v>
      </c>
      <c r="L157" s="17" t="str">
        <f>_xlfn.XLOOKUP($A157,[9]ag_lnd_prcp_mm!$A$2:$A$182, [9]ag_lnd_prcp_mm!$BL$2:$BL$182)</f>
        <v>2526</v>
      </c>
      <c r="M157" s="17" t="str">
        <f>_xlfn.XLOOKUP($A157,[10]co2_pcap_cons!$A$2:$A$193, [10]co2_pcap_cons!$HQ$2:$HQ$193)</f>
        <v>0.154</v>
      </c>
      <c r="N157" s="17" t="str">
        <f>_xlfn.XLOOKUP($A157,[11]primary_forest_area_ha!$A$2:$A$193, [11]primary_forest_area_ha!$AD$2:$AD$193)</f>
        <v>85200</v>
      </c>
      <c r="O157" s="17" t="str">
        <f>_xlfn.XLOOKUP($A157,[12]en_mam_thrd_no!$A$2:$A$195,[12]en_mam_thrd_no!$G$2:$G$195)</f>
        <v>26</v>
      </c>
      <c r="P157" s="17" t="str">
        <f>_xlfn.XLOOKUP($A157,[13]en_fsh_thrd_no!$A$2:$A$195,[13]en_fsh_thrd_no!$G$2:$G$195)</f>
        <v>87</v>
      </c>
      <c r="Q157" s="17" t="str">
        <f>_xlfn.XLOOKUP($A157,[14]en_bir_thrd_no!$A$2:$A$195,[14]en_bir_thrd_no!$G$2:$G$195)</f>
        <v>17</v>
      </c>
      <c r="R157" s="17" t="str">
        <f>_xlfn.XLOOKUP($A157,[15]en_hpt_thrd_no!$A$2:$A$195,[15]en_hpt_thrd_no!$G$2:$G$195)</f>
        <v>143</v>
      </c>
      <c r="S157" s="17" t="str">
        <f>_xlfn.XLOOKUP($A157,[16]er_lnd_ptld_zs!$A$2:$A$194, [16]er_lnd_ptld_zs!$O$2:$O$194)</f>
        <v>12.6</v>
      </c>
      <c r="T157" s="17" t="str">
        <f>_xlfn.XLOOKUP($A157,[17]er_mrn_ptmr_zs!$A$2:$A$155,[17]er_mrn_ptmr_zs!$O$2:$O$155)</f>
        <v>1.7</v>
      </c>
    </row>
    <row r="158" spans="1:20" x14ac:dyDescent="0.2">
      <c r="A158" t="s">
        <v>468</v>
      </c>
      <c r="B158" t="s">
        <v>469</v>
      </c>
      <c r="C158" s="18" t="str">
        <f>_xlfn.XLOOKUP(A158,[1]Tabelle1!$A$2:$A$196,[1]Tabelle1!$C$2:$C$196)</f>
        <v>americas</v>
      </c>
      <c r="D158" t="s">
        <v>470</v>
      </c>
      <c r="E158" s="17" t="str">
        <f>_xlfn.XLOOKUP(A158,[2]lex!$A$2:$A$195, [2]lex!$HU$2:$HU$195)</f>
        <v>73.71</v>
      </c>
      <c r="F158" s="17" t="str">
        <f>_xlfn.XLOOKUP(A158,[3]gdp_pcap!$A$2:$A$194,[3]gdp_pcap!$HT$2:$HT$194 )</f>
        <v>12221.09674</v>
      </c>
      <c r="G158" s="17" t="str">
        <f>_xlfn.XLOOKUP($A158,[4]ag_lnd_totl_k2!$A$2:$A$195, [4]ag_lnd_totl_k2!$BM$2:$BM$195)</f>
        <v>20720</v>
      </c>
      <c r="H158" s="17" t="str">
        <f>_xlfn.XLOOKUP($A158,[5]industrial_water_withdrawal_per!$A$2:$A$179,[5]industrial_water_withdrawal_per!$BH$2:$BH$179 )</f>
        <v>4.8653</v>
      </c>
      <c r="I158" s="17" t="str">
        <f>_xlfn.XLOOKUP($A158,[6]agricultural_water_withdrawal_p!$A$2:$A$180,[6]agricultural_water_withdrawal_p!$BH$2:$BH$180 )</f>
        <v>72.786</v>
      </c>
      <c r="J158" s="17" t="str">
        <f>_xlfn.XLOOKUP($A158,[7]total_water_withdrawal_billion_!$A$2:$A$180, [7]total_water_withdrawal_billion_!$BK$2:$BK$180  )</f>
        <v>1.9385</v>
      </c>
      <c r="K158" s="17" t="str">
        <f>_xlfn.XLOOKUP($A158,[8]hydro_power_generation_total!$A$2:$A$119,[8]hydro_power_generation_total!$BA$2:$BA$119 )</f>
        <v>179200</v>
      </c>
      <c r="L158" s="17" t="str">
        <f>_xlfn.XLOOKUP($A158,[9]ag_lnd_prcp_mm!$A$2:$A$182, [9]ag_lnd_prcp_mm!$BL$2:$BL$182)</f>
        <v>1784</v>
      </c>
      <c r="M158" s="17" t="str">
        <f>_xlfn.XLOOKUP($A158,[10]co2_pcap_cons!$A$2:$A$193, [10]co2_pcap_cons!$HQ$2:$HQ$193)</f>
        <v>1.472</v>
      </c>
      <c r="N158" s="17" t="str">
        <f>_xlfn.XLOOKUP($A158,[11]primary_forest_area_ha!$A$2:$A$193, [11]primary_forest_area_ha!$AD$2:$AD$193)</f>
        <v>4800</v>
      </c>
      <c r="O158" s="17" t="str">
        <f>_xlfn.XLOOKUP($A158,[12]en_mam_thrd_no!$A$2:$A$195,[12]en_mam_thrd_no!$G$2:$G$195)</f>
        <v>6</v>
      </c>
      <c r="P158" s="17" t="str">
        <f>_xlfn.XLOOKUP($A158,[13]en_fsh_thrd_no!$A$2:$A$195,[13]en_fsh_thrd_no!$G$2:$G$195)</f>
        <v>51</v>
      </c>
      <c r="Q158" s="17" t="str">
        <f>_xlfn.XLOOKUP($A158,[14]en_bir_thrd_no!$A$2:$A$195,[14]en_bir_thrd_no!$G$2:$G$195)</f>
        <v>9</v>
      </c>
      <c r="R158" s="17" t="str">
        <f>_xlfn.XLOOKUP($A158,[15]en_hpt_thrd_no!$A$2:$A$195,[15]en_hpt_thrd_no!$G$2:$G$195)</f>
        <v>77</v>
      </c>
      <c r="S158" s="17" t="str">
        <f>_xlfn.XLOOKUP($A158,[16]er_lnd_ptld_zs!$A$2:$A$194, [16]er_lnd_ptld_zs!$O$2:$O$194)</f>
        <v>8.3</v>
      </c>
      <c r="T158" s="17" t="str">
        <f>_xlfn.XLOOKUP($A158,[17]er_mrn_ptmr_zs!$A$2:$A$155,[17]er_mrn_ptmr_zs!$O$2:$O$155)</f>
        <v>0.8</v>
      </c>
    </row>
    <row r="159" spans="1:20" x14ac:dyDescent="0.2">
      <c r="A159" t="s">
        <v>471</v>
      </c>
      <c r="B159" t="s">
        <v>472</v>
      </c>
      <c r="C159" s="18" t="str">
        <f>_xlfn.XLOOKUP(A159,[1]Tabelle1!$A$2:$A$196,[1]Tabelle1!$C$2:$C$196)</f>
        <v>europe</v>
      </c>
      <c r="D159" t="s">
        <v>473</v>
      </c>
      <c r="E159" s="17" t="str">
        <f>_xlfn.XLOOKUP(A159,[2]lex!$A$2:$A$195, [2]lex!$HU$2:$HU$195)</f>
        <v>85.4</v>
      </c>
      <c r="F159" s="17" t="str">
        <f>_xlfn.XLOOKUP(A159,[3]gdp_pcap!$A$2:$A$194,[3]gdp_pcap!$HT$2:$HT$194 )</f>
        <v>78126.26324</v>
      </c>
      <c r="G159" s="17" t="str">
        <f>_xlfn.XLOOKUP($A159,[4]ag_lnd_totl_k2!$A$2:$A$195, [4]ag_lnd_totl_k2!$BM$2:$BM$195)</f>
        <v>60</v>
      </c>
      <c r="H159" s="17" t="e">
        <f>_xlfn.XLOOKUP($A159,[5]industrial_water_withdrawal_per!$A$2:$A$179,[5]industrial_water_withdrawal_per!$BH$2:$BH$179 )</f>
        <v>#N/A</v>
      </c>
      <c r="I159" s="17" t="e">
        <f>_xlfn.XLOOKUP($A159,[6]agricultural_water_withdrawal_p!$A$2:$A$180,[6]agricultural_water_withdrawal_p!$BH$2:$BH$180 )</f>
        <v>#N/A</v>
      </c>
      <c r="J159" s="17" t="e">
        <f>_xlfn.XLOOKUP($A159,[7]total_water_withdrawal_billion_!$A$2:$A$180, [7]total_water_withdrawal_billion_!$BK$2:$BK$180  )</f>
        <v>#N/A</v>
      </c>
      <c r="K159" s="17" t="e">
        <f>_xlfn.XLOOKUP($A159,[8]hydro_power_generation_total!$A$2:$A$119,[8]hydro_power_generation_total!$BA$2:$BA$119 )</f>
        <v>#N/A</v>
      </c>
      <c r="L159" s="17" t="e">
        <f>_xlfn.XLOOKUP($A159,[9]ag_lnd_prcp_mm!$A$2:$A$182, [9]ag_lnd_prcp_mm!$BL$2:$BL$182)</f>
        <v>#N/A</v>
      </c>
      <c r="M159" s="17" t="e">
        <f>_xlfn.XLOOKUP($A159,[10]co2_pcap_cons!$A$2:$A$193, [10]co2_pcap_cons!$HQ$2:$HQ$193)</f>
        <v>#N/A</v>
      </c>
      <c r="N159" s="17">
        <f>_xlfn.XLOOKUP($A159,[11]primary_forest_area_ha!$A$2:$A$193, [11]primary_forest_area_ha!$AD$2:$AD$193)</f>
        <v>0</v>
      </c>
      <c r="O159" s="17" t="str">
        <f>_xlfn.XLOOKUP($A159,[12]en_mam_thrd_no!$A$2:$A$195,[12]en_mam_thrd_no!$G$2:$G$195)</f>
        <v>1</v>
      </c>
      <c r="P159" s="17" t="str">
        <f>_xlfn.XLOOKUP($A159,[13]en_fsh_thrd_no!$A$2:$A$195,[13]en_fsh_thrd_no!$G$2:$G$195)</f>
        <v>2</v>
      </c>
      <c r="Q159" s="17" t="str">
        <f>_xlfn.XLOOKUP($A159,[14]en_bir_thrd_no!$A$2:$A$195,[14]en_bir_thrd_no!$G$2:$G$195)</f>
        <v>1</v>
      </c>
      <c r="R159" s="17">
        <f>_xlfn.XLOOKUP($A159,[15]en_hpt_thrd_no!$A$2:$A$195,[15]en_hpt_thrd_no!$G$2:$G$195)</f>
        <v>0</v>
      </c>
      <c r="S159" s="17" t="e">
        <f>_xlfn.XLOOKUP($A159,[16]er_lnd_ptld_zs!$A$2:$A$194, [16]er_lnd_ptld_zs!$O$2:$O$194)</f>
        <v>#N/A</v>
      </c>
      <c r="T159" s="17" t="e">
        <f>_xlfn.XLOOKUP($A159,[17]er_mrn_ptmr_zs!$A$2:$A$155,[17]er_mrn_ptmr_zs!$O$2:$O$155)</f>
        <v>#N/A</v>
      </c>
    </row>
    <row r="160" spans="1:20" x14ac:dyDescent="0.2">
      <c r="A160" t="s">
        <v>474</v>
      </c>
      <c r="B160" t="s">
        <v>475</v>
      </c>
      <c r="C160" s="18" t="str">
        <f>_xlfn.XLOOKUP(A160,[1]Tabelle1!$A$2:$A$196,[1]Tabelle1!$C$2:$C$196)</f>
        <v>africa</v>
      </c>
      <c r="D160" t="s">
        <v>476</v>
      </c>
      <c r="E160" s="17" t="str">
        <f>_xlfn.XLOOKUP(A160,[2]lex!$A$2:$A$195, [2]lex!$HU$2:$HU$195)</f>
        <v>65.35</v>
      </c>
      <c r="F160" s="17" t="str">
        <f>_xlfn.XLOOKUP(A160,[3]gdp_pcap!$A$2:$A$194,[3]gdp_pcap!$HT$2:$HT$194 )</f>
        <v>1462.56236</v>
      </c>
      <c r="G160" s="17" t="str">
        <f>_xlfn.XLOOKUP($A160,[4]ag_lnd_totl_k2!$A$2:$A$195, [4]ag_lnd_totl_k2!$BM$2:$BM$195)</f>
        <v>627340</v>
      </c>
      <c r="H160" s="17" t="str">
        <f>_xlfn.XLOOKUP($A160,[5]industrial_water_withdrawal_per!$A$2:$A$179,[5]industrial_water_withdrawal_per!$BH$2:$BH$179 )</f>
        <v>0.06064</v>
      </c>
      <c r="I160" s="17" t="str">
        <f>_xlfn.XLOOKUP($A160,[6]agricultural_water_withdrawal_p!$A$2:$A$180,[6]agricultural_water_withdrawal_p!$BH$2:$BH$180 )</f>
        <v>99.485</v>
      </c>
      <c r="J160" s="17" t="str">
        <f>_xlfn.XLOOKUP($A160,[7]total_water_withdrawal_billion_!$A$2:$A$180, [7]total_water_withdrawal_billion_!$BK$2:$BK$180  )</f>
        <v>3.298</v>
      </c>
      <c r="K160" s="17" t="e">
        <f>_xlfn.XLOOKUP($A160,[8]hydro_power_generation_total!$A$2:$A$119,[8]hydro_power_generation_total!$BA$2:$BA$119 )</f>
        <v>#N/A</v>
      </c>
      <c r="L160" s="17" t="str">
        <f>_xlfn.XLOOKUP($A160,[9]ag_lnd_prcp_mm!$A$2:$A$182, [9]ag_lnd_prcp_mm!$BL$2:$BL$182)</f>
        <v>282</v>
      </c>
      <c r="M160" s="17" t="str">
        <f>_xlfn.XLOOKUP($A160,[10]co2_pcap_cons!$A$2:$A$193, [10]co2_pcap_cons!$HQ$2:$HQ$193)</f>
        <v>0.051</v>
      </c>
      <c r="N160" s="17">
        <f>_xlfn.XLOOKUP($A160,[11]primary_forest_area_ha!$A$2:$A$193, [11]primary_forest_area_ha!$AD$2:$AD$193)</f>
        <v>0</v>
      </c>
      <c r="O160" s="17" t="str">
        <f>_xlfn.XLOOKUP($A160,[12]en_mam_thrd_no!$A$2:$A$195,[12]en_mam_thrd_no!$G$2:$G$195)</f>
        <v>18</v>
      </c>
      <c r="P160" s="17" t="str">
        <f>_xlfn.XLOOKUP($A160,[13]en_fsh_thrd_no!$A$2:$A$195,[13]en_fsh_thrd_no!$G$2:$G$195)</f>
        <v>59</v>
      </c>
      <c r="Q160" s="17" t="str">
        <f>_xlfn.XLOOKUP($A160,[14]en_bir_thrd_no!$A$2:$A$195,[14]en_bir_thrd_no!$G$2:$G$195)</f>
        <v>20</v>
      </c>
      <c r="R160" s="17" t="str">
        <f>_xlfn.XLOOKUP($A160,[15]en_hpt_thrd_no!$A$2:$A$195,[15]en_hpt_thrd_no!$G$2:$G$195)</f>
        <v>63</v>
      </c>
      <c r="S160" s="17">
        <f>_xlfn.XLOOKUP($A160,[16]er_lnd_ptld_zs!$A$2:$A$194, [16]er_lnd_ptld_zs!$O$2:$O$194)</f>
        <v>0</v>
      </c>
      <c r="T160" s="17">
        <f>_xlfn.XLOOKUP($A160,[17]er_mrn_ptmr_zs!$A$2:$A$155,[17]er_mrn_ptmr_zs!$O$2:$O$155)</f>
        <v>0</v>
      </c>
    </row>
    <row r="161" spans="1:20" x14ac:dyDescent="0.2">
      <c r="A161" t="s">
        <v>477</v>
      </c>
      <c r="B161" t="s">
        <v>478</v>
      </c>
      <c r="C161" s="18" t="str">
        <f>_xlfn.XLOOKUP(A161,[1]Tabelle1!$A$2:$A$196,[1]Tabelle1!$C$2:$C$196)</f>
        <v>europe</v>
      </c>
      <c r="D161" t="s">
        <v>479</v>
      </c>
      <c r="E161" s="17" t="str">
        <f>_xlfn.XLOOKUP(A161,[2]lex!$A$2:$A$195, [2]lex!$HU$2:$HU$195)</f>
        <v>76.49</v>
      </c>
      <c r="F161" s="17" t="str">
        <f>_xlfn.XLOOKUP(A161,[3]gdp_pcap!$A$2:$A$194,[3]gdp_pcap!$HT$2:$HT$194 )</f>
        <v>28758.37917</v>
      </c>
      <c r="G161" s="17" t="str">
        <f>_xlfn.XLOOKUP($A161,[4]ag_lnd_totl_k2!$A$2:$A$195, [4]ag_lnd_totl_k2!$BM$2:$BM$195)</f>
        <v>84090</v>
      </c>
      <c r="H161" s="17" t="str">
        <f>_xlfn.XLOOKUP($A161,[5]industrial_water_withdrawal_per!$A$2:$A$179,[5]industrial_water_withdrawal_per!$BH$2:$BH$179 )</f>
        <v>77.922</v>
      </c>
      <c r="I161" s="17" t="str">
        <f>_xlfn.XLOOKUP($A161,[6]agricultural_water_withdrawal_p!$A$2:$A$180,[6]agricultural_water_withdrawal_p!$BH$2:$BH$180 )</f>
        <v>8.2891</v>
      </c>
      <c r="J161" s="17" t="str">
        <f>_xlfn.XLOOKUP($A161,[7]total_water_withdrawal_billion_!$A$2:$A$180, [7]total_water_withdrawal_billion_!$BK$2:$BK$180  )</f>
        <v>5.091</v>
      </c>
      <c r="K161" s="17" t="str">
        <f>_xlfn.XLOOKUP($A161,[8]hydro_power_generation_total!$A$2:$A$119,[8]hydro_power_generation_total!$BA$2:$BA$119 )</f>
        <v>1022000</v>
      </c>
      <c r="L161" s="17" t="e">
        <f>_xlfn.XLOOKUP($A161,[9]ag_lnd_prcp_mm!$A$2:$A$182, [9]ag_lnd_prcp_mm!$BL$2:$BL$182)</f>
        <v>#N/A</v>
      </c>
      <c r="M161" s="17" t="str">
        <f>_xlfn.XLOOKUP($A161,[10]co2_pcap_cons!$A$2:$A$193, [10]co2_pcap_cons!$HQ$2:$HQ$193)</f>
        <v>5.108</v>
      </c>
      <c r="N161" s="17" t="str">
        <f>_xlfn.XLOOKUP($A161,[11]primary_forest_area_ha!$A$2:$A$193, [11]primary_forest_area_ha!$AD$2:$AD$193)</f>
        <v>1000</v>
      </c>
      <c r="O161" s="17" t="str">
        <f>_xlfn.XLOOKUP($A161,[12]en_mam_thrd_no!$A$2:$A$195,[12]en_mam_thrd_no!$G$2:$G$195)</f>
        <v>8</v>
      </c>
      <c r="P161" s="17" t="str">
        <f>_xlfn.XLOOKUP($A161,[13]en_fsh_thrd_no!$A$2:$A$195,[13]en_fsh_thrd_no!$G$2:$G$195)</f>
        <v>14</v>
      </c>
      <c r="Q161" s="17" t="str">
        <f>_xlfn.XLOOKUP($A161,[14]en_bir_thrd_no!$A$2:$A$195,[14]en_bir_thrd_no!$G$2:$G$195)</f>
        <v>14</v>
      </c>
      <c r="R161" s="17" t="str">
        <f>_xlfn.XLOOKUP($A161,[15]en_hpt_thrd_no!$A$2:$A$195,[15]en_hpt_thrd_no!$G$2:$G$195)</f>
        <v>9</v>
      </c>
      <c r="S161" s="17" t="str">
        <f>_xlfn.XLOOKUP($A161,[16]er_lnd_ptld_zs!$A$2:$A$194, [16]er_lnd_ptld_zs!$O$2:$O$194)</f>
        <v>14</v>
      </c>
      <c r="T161" s="17" t="e">
        <f>_xlfn.XLOOKUP($A161,[17]er_mrn_ptmr_zs!$A$2:$A$155,[17]er_mrn_ptmr_zs!$O$2:$O$155)</f>
        <v>#N/A</v>
      </c>
    </row>
    <row r="162" spans="1:20" x14ac:dyDescent="0.2">
      <c r="A162" t="s">
        <v>480</v>
      </c>
      <c r="B162" t="s">
        <v>481</v>
      </c>
      <c r="C162" s="18" t="str">
        <f>_xlfn.XLOOKUP(A162,[1]Tabelle1!$A$2:$A$196,[1]Tabelle1!$C$2:$C$196)</f>
        <v>africa</v>
      </c>
      <c r="D162" t="s">
        <v>482</v>
      </c>
      <c r="E162" s="17" t="str">
        <f>_xlfn.XLOOKUP(A162,[2]lex!$A$2:$A$195, [2]lex!$HU$2:$HU$195)</f>
        <v>56.79</v>
      </c>
      <c r="F162" s="17" t="str">
        <f>_xlfn.XLOOKUP(A162,[3]gdp_pcap!$A$2:$A$194,[3]gdp_pcap!$HT$2:$HT$194 )</f>
        <v>716.249</v>
      </c>
      <c r="G162" s="17" t="str">
        <f>_xlfn.XLOOKUP($A162,[4]ag_lnd_totl_k2!$A$2:$A$195, [4]ag_lnd_totl_k2!$BM$2:$BM$195)</f>
        <v>631930</v>
      </c>
      <c r="H162" s="17" t="str">
        <f>_xlfn.XLOOKUP($A162,[5]industrial_water_withdrawal_per!$A$2:$A$179,[5]industrial_water_withdrawal_per!$BH$2:$BH$179 )</f>
        <v>34.195</v>
      </c>
      <c r="I162" s="17" t="str">
        <f>_xlfn.XLOOKUP($A162,[6]agricultural_water_withdrawal_p!$A$2:$A$180,[6]agricultural_water_withdrawal_p!$BH$2:$BH$180 )</f>
        <v>36.474</v>
      </c>
      <c r="J162" s="17" t="str">
        <f>_xlfn.XLOOKUP($A162,[7]total_water_withdrawal_billion_!$A$2:$A$180, [7]total_water_withdrawal_billion_!$BK$2:$BK$180  )</f>
        <v>0.658</v>
      </c>
      <c r="K162" s="17" t="e">
        <f>_xlfn.XLOOKUP($A162,[8]hydro_power_generation_total!$A$2:$A$119,[8]hydro_power_generation_total!$BA$2:$BA$119 )</f>
        <v>#N/A</v>
      </c>
      <c r="L162" s="17" t="str">
        <f>_xlfn.XLOOKUP($A162,[9]ag_lnd_prcp_mm!$A$2:$A$182, [9]ag_lnd_prcp_mm!$BL$2:$BL$182)</f>
        <v>900</v>
      </c>
      <c r="M162" s="17" t="str">
        <f>_xlfn.XLOOKUP($A162,[10]co2_pcap_cons!$A$2:$A$193, [10]co2_pcap_cons!$HQ$2:$HQ$193)</f>
        <v>0.186</v>
      </c>
      <c r="N162" s="17">
        <f>_xlfn.XLOOKUP($A162,[11]primary_forest_area_ha!$A$2:$A$193, [11]primary_forest_area_ha!$AD$2:$AD$193)</f>
        <v>0</v>
      </c>
      <c r="O162" s="17" t="str">
        <f>_xlfn.XLOOKUP($A162,[12]en_mam_thrd_no!$A$2:$A$195,[12]en_mam_thrd_no!$G$2:$G$195)</f>
        <v>18</v>
      </c>
      <c r="P162" s="17">
        <f>_xlfn.XLOOKUP($A162,[13]en_fsh_thrd_no!$A$2:$A$195,[13]en_fsh_thrd_no!$G$2:$G$195)</f>
        <v>0</v>
      </c>
      <c r="Q162" s="17" t="str">
        <f>_xlfn.XLOOKUP($A162,[14]en_bir_thrd_no!$A$2:$A$195,[14]en_bir_thrd_no!$G$2:$G$195)</f>
        <v>23</v>
      </c>
      <c r="R162" s="17" t="str">
        <f>_xlfn.XLOOKUP($A162,[15]en_hpt_thrd_no!$A$2:$A$195,[15]en_hpt_thrd_no!$G$2:$G$195)</f>
        <v>21</v>
      </c>
      <c r="S162" s="17" t="str">
        <f>_xlfn.XLOOKUP($A162,[16]er_lnd_ptld_zs!$A$2:$A$194, [16]er_lnd_ptld_zs!$O$2:$O$194)</f>
        <v>15.4</v>
      </c>
      <c r="T162" s="17" t="e">
        <f>_xlfn.XLOOKUP($A162,[17]er_mrn_ptmr_zs!$A$2:$A$155,[17]er_mrn_ptmr_zs!$O$2:$O$155)</f>
        <v>#N/A</v>
      </c>
    </row>
    <row r="163" spans="1:20" x14ac:dyDescent="0.2">
      <c r="A163" t="s">
        <v>483</v>
      </c>
      <c r="B163" t="s">
        <v>484</v>
      </c>
      <c r="C163" s="18" t="str">
        <f>_xlfn.XLOOKUP(A163,[1]Tabelle1!$A$2:$A$196,[1]Tabelle1!$C$2:$C$196)</f>
        <v>africa</v>
      </c>
      <c r="D163" t="s">
        <v>485</v>
      </c>
      <c r="E163" s="17" t="str">
        <f>_xlfn.XLOOKUP(A163,[2]lex!$A$2:$A$195, [2]lex!$HU$2:$HU$195)</f>
        <v>70.91</v>
      </c>
      <c r="F163" s="17" t="str">
        <f>_xlfn.XLOOKUP(A163,[3]gdp_pcap!$A$2:$A$194,[3]gdp_pcap!$HT$2:$HT$194 )</f>
        <v>5681.95489</v>
      </c>
      <c r="G163" s="17" t="str">
        <f>_xlfn.XLOOKUP($A163,[4]ag_lnd_totl_k2!$A$2:$A$195, [4]ag_lnd_totl_k2!$BM$2:$BM$195)</f>
        <v>960</v>
      </c>
      <c r="H163" s="17" t="str">
        <f>_xlfn.XLOOKUP($A163,[5]industrial_water_withdrawal_per!$A$2:$A$179,[5]industrial_water_withdrawal_per!$BH$2:$BH$179 )</f>
        <v>1.467</v>
      </c>
      <c r="I163" s="17" t="str">
        <f>_xlfn.XLOOKUP($A163,[6]agricultural_water_withdrawal_p!$A$2:$A$180,[6]agricultural_water_withdrawal_p!$BH$2:$BH$180 )</f>
        <v>62.592</v>
      </c>
      <c r="J163" s="17" t="str">
        <f>_xlfn.XLOOKUP($A163,[7]total_water_withdrawal_billion_!$A$2:$A$180, [7]total_water_withdrawal_billion_!$BK$2:$BK$180  )</f>
        <v>0.0409</v>
      </c>
      <c r="K163" s="17" t="e">
        <f>_xlfn.XLOOKUP($A163,[8]hydro_power_generation_total!$A$2:$A$119,[8]hydro_power_generation_total!$BA$2:$BA$119 )</f>
        <v>#N/A</v>
      </c>
      <c r="L163" s="17" t="str">
        <f>_xlfn.XLOOKUP($A163,[9]ag_lnd_prcp_mm!$A$2:$A$182, [9]ag_lnd_prcp_mm!$BL$2:$BL$182)</f>
        <v>3200</v>
      </c>
      <c r="M163" s="17" t="str">
        <f>_xlfn.XLOOKUP($A163,[10]co2_pcap_cons!$A$2:$A$193, [10]co2_pcap_cons!$HQ$2:$HQ$193)</f>
        <v>0.641</v>
      </c>
      <c r="N163" s="17" t="str">
        <f>_xlfn.XLOOKUP($A163,[11]primary_forest_area_ha!$A$2:$A$193, [11]primary_forest_area_ha!$AD$2:$AD$193)</f>
        <v>27000</v>
      </c>
      <c r="O163" s="17" t="str">
        <f>_xlfn.XLOOKUP($A163,[12]en_mam_thrd_no!$A$2:$A$195,[12]en_mam_thrd_no!$G$2:$G$195)</f>
        <v>4</v>
      </c>
      <c r="P163" s="17" t="str">
        <f>_xlfn.XLOOKUP($A163,[13]en_fsh_thrd_no!$A$2:$A$195,[13]en_fsh_thrd_no!$G$2:$G$195)</f>
        <v>38</v>
      </c>
      <c r="Q163" s="17" t="str">
        <f>_xlfn.XLOOKUP($A163,[14]en_bir_thrd_no!$A$2:$A$195,[14]en_bir_thrd_no!$G$2:$G$195)</f>
        <v>12</v>
      </c>
      <c r="R163" s="17" t="str">
        <f>_xlfn.XLOOKUP($A163,[15]en_hpt_thrd_no!$A$2:$A$195,[15]en_hpt_thrd_no!$G$2:$G$195)</f>
        <v>72</v>
      </c>
      <c r="S163" s="17" t="str">
        <f>_xlfn.XLOOKUP($A163,[16]er_lnd_ptld_zs!$A$2:$A$194, [16]er_lnd_ptld_zs!$O$2:$O$194)</f>
        <v>31.7</v>
      </c>
      <c r="T163" s="17">
        <f>_xlfn.XLOOKUP($A163,[17]er_mrn_ptmr_zs!$A$2:$A$155,[17]er_mrn_ptmr_zs!$O$2:$O$155)</f>
        <v>0</v>
      </c>
    </row>
    <row r="164" spans="1:20" x14ac:dyDescent="0.2">
      <c r="A164" t="s">
        <v>486</v>
      </c>
      <c r="B164" t="s">
        <v>487</v>
      </c>
      <c r="C164" s="18" t="str">
        <f>_xlfn.XLOOKUP(A164,[1]Tabelle1!$A$2:$A$196,[1]Tabelle1!$C$2:$C$196)</f>
        <v>americas</v>
      </c>
      <c r="D164" t="s">
        <v>488</v>
      </c>
      <c r="E164" s="17" t="str">
        <f>_xlfn.XLOOKUP(A164,[2]lex!$A$2:$A$195, [2]lex!$HU$2:$HU$195)</f>
        <v>73.5</v>
      </c>
      <c r="F164" s="17" t="str">
        <f>_xlfn.XLOOKUP(A164,[3]gdp_pcap!$A$2:$A$194,[3]gdp_pcap!$HT$2:$HT$194 )</f>
        <v>20256.66324</v>
      </c>
      <c r="G164" s="17" t="str">
        <f>_xlfn.XLOOKUP($A164,[4]ag_lnd_totl_k2!$A$2:$A$195, [4]ag_lnd_totl_k2!$BM$2:$BM$195)</f>
        <v>160507.61</v>
      </c>
      <c r="H164" s="17" t="str">
        <f>_xlfn.XLOOKUP($A164,[5]industrial_water_withdrawal_per!$A$2:$A$179,[5]industrial_water_withdrawal_per!$BH$2:$BH$179 )</f>
        <v>22</v>
      </c>
      <c r="I164" s="17" t="str">
        <f>_xlfn.XLOOKUP($A164,[6]agricultural_water_withdrawal_p!$A$2:$A$180,[6]agricultural_water_withdrawal_p!$BH$2:$BH$180 )</f>
        <v>69.995</v>
      </c>
      <c r="J164" s="17" t="str">
        <f>_xlfn.XLOOKUP($A164,[7]total_water_withdrawal_billion_!$A$2:$A$180, [7]total_water_withdrawal_billion_!$BK$2:$BK$180  )</f>
        <v>0.6159</v>
      </c>
      <c r="K164" s="17" t="e">
        <f>_xlfn.XLOOKUP($A164,[8]hydro_power_generation_total!$A$2:$A$119,[8]hydro_power_generation_total!$BA$2:$BA$119 )</f>
        <v>#N/A</v>
      </c>
      <c r="L164" s="17" t="str">
        <f>_xlfn.XLOOKUP($A164,[9]ag_lnd_prcp_mm!$A$2:$A$182, [9]ag_lnd_prcp_mm!$BL$2:$BL$182)</f>
        <v>2331</v>
      </c>
      <c r="M164" s="17" t="str">
        <f>_xlfn.XLOOKUP($A164,[10]co2_pcap_cons!$A$2:$A$193, [10]co2_pcap_cons!$HQ$2:$HQ$193)</f>
        <v>3.391</v>
      </c>
      <c r="N164" s="17" t="str">
        <f>_xlfn.XLOOKUP($A164,[11]primary_forest_area_ha!$A$2:$A$193, [11]primary_forest_area_ha!$AD$2:$AD$193)</f>
        <v>14019000</v>
      </c>
      <c r="O164" s="17" t="str">
        <f>_xlfn.XLOOKUP($A164,[12]en_mam_thrd_no!$A$2:$A$195,[12]en_mam_thrd_no!$G$2:$G$195)</f>
        <v>9</v>
      </c>
      <c r="P164" s="17" t="str">
        <f>_xlfn.XLOOKUP($A164,[13]en_fsh_thrd_no!$A$2:$A$195,[13]en_fsh_thrd_no!$G$2:$G$195)</f>
        <v>63</v>
      </c>
      <c r="Q164" s="17" t="str">
        <f>_xlfn.XLOOKUP($A164,[14]en_bir_thrd_no!$A$2:$A$195,[14]en_bir_thrd_no!$G$2:$G$195)</f>
        <v>5</v>
      </c>
      <c r="R164" s="17" t="str">
        <f>_xlfn.XLOOKUP($A164,[15]en_hpt_thrd_no!$A$2:$A$195,[15]en_hpt_thrd_no!$G$2:$G$195)</f>
        <v>45</v>
      </c>
      <c r="S164" s="17" t="str">
        <f>_xlfn.XLOOKUP($A164,[16]er_lnd_ptld_zs!$A$2:$A$194, [16]er_lnd_ptld_zs!$O$2:$O$194)</f>
        <v>14.8</v>
      </c>
      <c r="T164" s="17" t="str">
        <f>_xlfn.XLOOKUP($A164,[17]er_mrn_ptmr_zs!$A$2:$A$155,[17]er_mrn_ptmr_zs!$O$2:$O$155)</f>
        <v>1.5</v>
      </c>
    </row>
    <row r="165" spans="1:20" x14ac:dyDescent="0.2">
      <c r="A165" t="s">
        <v>489</v>
      </c>
      <c r="B165" t="s">
        <v>490</v>
      </c>
      <c r="C165" s="18" t="str">
        <f>_xlfn.XLOOKUP(A165,[1]Tabelle1!$A$2:$A$196,[1]Tabelle1!$C$2:$C$196)</f>
        <v>europe</v>
      </c>
      <c r="D165" t="s">
        <v>491</v>
      </c>
      <c r="E165" s="17" t="str">
        <f>_xlfn.XLOOKUP(A165,[2]lex!$A$2:$A$195, [2]lex!$HU$2:$HU$195)</f>
        <v>78.7</v>
      </c>
      <c r="F165" s="17" t="str">
        <f>_xlfn.XLOOKUP(A165,[3]gdp_pcap!$A$2:$A$194,[3]gdp_pcap!$HT$2:$HT$194 )</f>
        <v>41977.51553</v>
      </c>
      <c r="G165" s="17" t="str">
        <f>_xlfn.XLOOKUP($A165,[4]ag_lnd_totl_k2!$A$2:$A$195, [4]ag_lnd_totl_k2!$BM$2:$BM$195)</f>
        <v>48080</v>
      </c>
      <c r="H165" s="17" t="str">
        <f>_xlfn.XLOOKUP($A165,[5]industrial_water_withdrawal_per!$A$2:$A$179,[5]industrial_water_withdrawal_per!$BH$2:$BH$179 )</f>
        <v>39.843</v>
      </c>
      <c r="I165" s="17" t="str">
        <f>_xlfn.XLOOKUP($A165,[6]agricultural_water_withdrawal_p!$A$2:$A$180,[6]agricultural_water_withdrawal_p!$BH$2:$BH$180 )</f>
        <v>5.8285</v>
      </c>
      <c r="J165" s="17" t="str">
        <f>_xlfn.XLOOKUP($A165,[7]total_water_withdrawal_billion_!$A$2:$A$180, [7]total_water_withdrawal_billion_!$BK$2:$BK$180  )</f>
        <v>0.56362</v>
      </c>
      <c r="K165" s="17" t="str">
        <f>_xlfn.XLOOKUP($A165,[8]hydro_power_generation_total!$A$2:$A$119,[8]hydro_power_generation_total!$BA$2:$BA$119 )</f>
        <v>451800</v>
      </c>
      <c r="L165" s="17" t="str">
        <f>_xlfn.XLOOKUP($A165,[9]ag_lnd_prcp_mm!$A$2:$A$182, [9]ag_lnd_prcp_mm!$BL$2:$BL$182)</f>
        <v>824</v>
      </c>
      <c r="M165" s="17" t="str">
        <f>_xlfn.XLOOKUP($A165,[10]co2_pcap_cons!$A$2:$A$193, [10]co2_pcap_cons!$HQ$2:$HQ$193)</f>
        <v>7.368</v>
      </c>
      <c r="N165" s="17" t="str">
        <f>_xlfn.XLOOKUP($A165,[11]primary_forest_area_ha!$A$2:$A$193, [11]primary_forest_area_ha!$AD$2:$AD$193)</f>
        <v>24000</v>
      </c>
      <c r="O165" s="17" t="str">
        <f>_xlfn.XLOOKUP($A165,[12]en_mam_thrd_no!$A$2:$A$195,[12]en_mam_thrd_no!$G$2:$G$195)</f>
        <v>5</v>
      </c>
      <c r="P165" s="17" t="str">
        <f>_xlfn.XLOOKUP($A165,[13]en_fsh_thrd_no!$A$2:$A$195,[13]en_fsh_thrd_no!$G$2:$G$195)</f>
        <v>7</v>
      </c>
      <c r="Q165" s="17" t="str">
        <f>_xlfn.XLOOKUP($A165,[14]en_bir_thrd_no!$A$2:$A$195,[14]en_bir_thrd_no!$G$2:$G$195)</f>
        <v>13</v>
      </c>
      <c r="R165" s="17" t="str">
        <f>_xlfn.XLOOKUP($A165,[15]en_hpt_thrd_no!$A$2:$A$195,[15]en_hpt_thrd_no!$G$2:$G$195)</f>
        <v>32</v>
      </c>
      <c r="S165" s="17" t="str">
        <f>_xlfn.XLOOKUP($A165,[16]er_lnd_ptld_zs!$A$2:$A$194, [16]er_lnd_ptld_zs!$O$2:$O$194)</f>
        <v>37.5</v>
      </c>
      <c r="T165" s="17" t="e">
        <f>_xlfn.XLOOKUP($A165,[17]er_mrn_ptmr_zs!$A$2:$A$155,[17]er_mrn_ptmr_zs!$O$2:$O$155)</f>
        <v>#N/A</v>
      </c>
    </row>
    <row r="166" spans="1:20" x14ac:dyDescent="0.2">
      <c r="A166" t="s">
        <v>492</v>
      </c>
      <c r="B166" t="s">
        <v>493</v>
      </c>
      <c r="C166" s="18" t="str">
        <f>_xlfn.XLOOKUP(A166,[1]Tabelle1!$A$2:$A$196,[1]Tabelle1!$C$2:$C$196)</f>
        <v>europe</v>
      </c>
      <c r="D166" t="s">
        <v>494</v>
      </c>
      <c r="E166" s="17" t="str">
        <f>_xlfn.XLOOKUP(A166,[2]lex!$A$2:$A$195, [2]lex!$HU$2:$HU$195)</f>
        <v>82.1</v>
      </c>
      <c r="F166" s="17" t="str">
        <f>_xlfn.XLOOKUP(A166,[3]gdp_pcap!$A$2:$A$194,[3]gdp_pcap!$HT$2:$HT$194 )</f>
        <v>50558.74404</v>
      </c>
      <c r="G166" s="17" t="str">
        <f>_xlfn.XLOOKUP($A166,[4]ag_lnd_totl_k2!$A$2:$A$195, [4]ag_lnd_totl_k2!$BM$2:$BM$195)</f>
        <v>20134.5</v>
      </c>
      <c r="H166" s="17" t="str">
        <f>_xlfn.XLOOKUP($A166,[5]industrial_water_withdrawal_per!$A$2:$A$179,[5]industrial_water_withdrawal_per!$BH$2:$BH$179 )</f>
        <v>77.993</v>
      </c>
      <c r="I166" s="17" t="str">
        <f>_xlfn.XLOOKUP($A166,[6]agricultural_water_withdrawal_p!$A$2:$A$180,[6]agricultural_water_withdrawal_p!$BH$2:$BH$180 )</f>
        <v>0.41112</v>
      </c>
      <c r="J166" s="17" t="str">
        <f>_xlfn.XLOOKUP($A166,[7]total_water_withdrawal_billion_!$A$2:$A$180, [7]total_water_withdrawal_billion_!$BK$2:$BK$180  )</f>
        <v>0.827</v>
      </c>
      <c r="K166" s="17" t="str">
        <f>_xlfn.XLOOKUP($A166,[8]hydro_power_generation_total!$A$2:$A$119,[8]hydro_power_generation_total!$BA$2:$BA$119 )</f>
        <v>388000</v>
      </c>
      <c r="L166" s="17" t="str">
        <f>_xlfn.XLOOKUP($A166,[9]ag_lnd_prcp_mm!$A$2:$A$182, [9]ag_lnd_prcp_mm!$BL$2:$BL$182)</f>
        <v>1162</v>
      </c>
      <c r="M166" s="17" t="str">
        <f>_xlfn.XLOOKUP($A166,[10]co2_pcap_cons!$A$2:$A$193, [10]co2_pcap_cons!$HQ$2:$HQ$193)</f>
        <v>8.465</v>
      </c>
      <c r="N166" s="17" t="str">
        <f>_xlfn.XLOOKUP($A166,[11]primary_forest_area_ha!$A$2:$A$193, [11]primary_forest_area_ha!$AD$2:$AD$193)</f>
        <v>49000</v>
      </c>
      <c r="O166" s="17" t="str">
        <f>_xlfn.XLOOKUP($A166,[12]en_mam_thrd_no!$A$2:$A$195,[12]en_mam_thrd_no!$G$2:$G$195)</f>
        <v>8</v>
      </c>
      <c r="P166" s="17" t="str">
        <f>_xlfn.XLOOKUP($A166,[13]en_fsh_thrd_no!$A$2:$A$195,[13]en_fsh_thrd_no!$G$2:$G$195)</f>
        <v>52</v>
      </c>
      <c r="Q166" s="17" t="str">
        <f>_xlfn.XLOOKUP($A166,[14]en_bir_thrd_no!$A$2:$A$195,[14]en_bir_thrd_no!$G$2:$G$195)</f>
        <v>11</v>
      </c>
      <c r="R166" s="17" t="str">
        <f>_xlfn.XLOOKUP($A166,[15]en_hpt_thrd_no!$A$2:$A$195,[15]en_hpt_thrd_no!$G$2:$G$195)</f>
        <v>13</v>
      </c>
      <c r="S166" s="17" t="str">
        <f>_xlfn.XLOOKUP($A166,[16]er_lnd_ptld_zs!$A$2:$A$194, [16]er_lnd_ptld_zs!$O$2:$O$194)</f>
        <v>40.4</v>
      </c>
      <c r="T166" s="17" t="str">
        <f>_xlfn.XLOOKUP($A166,[17]er_mrn_ptmr_zs!$A$2:$A$155,[17]er_mrn_ptmr_zs!$O$2:$O$155)</f>
        <v>2.9</v>
      </c>
    </row>
    <row r="167" spans="1:20" x14ac:dyDescent="0.2">
      <c r="A167" t="s">
        <v>495</v>
      </c>
      <c r="B167" t="s">
        <v>496</v>
      </c>
      <c r="C167" s="18" t="str">
        <f>_xlfn.XLOOKUP(A167,[1]Tabelle1!$A$2:$A$196,[1]Tabelle1!$C$2:$C$196)</f>
        <v>europe</v>
      </c>
      <c r="D167" t="s">
        <v>497</v>
      </c>
      <c r="E167" s="17" t="str">
        <f>_xlfn.XLOOKUP(A167,[2]lex!$A$2:$A$195, [2]lex!$HU$2:$HU$195)</f>
        <v>83.7</v>
      </c>
      <c r="F167" s="17" t="str">
        <f>_xlfn.XLOOKUP(A167,[3]gdp_pcap!$A$2:$A$194,[3]gdp_pcap!$HT$2:$HT$194 )</f>
        <v>65596.66352</v>
      </c>
      <c r="G167" s="17" t="str">
        <f>_xlfn.XLOOKUP($A167,[4]ag_lnd_totl_k2!$A$2:$A$195, [4]ag_lnd_totl_k2!$BM$2:$BM$195)</f>
        <v>407270</v>
      </c>
      <c r="H167" s="17" t="str">
        <f>_xlfn.XLOOKUP($A167,[5]industrial_water_withdrawal_per!$A$2:$A$179,[5]industrial_water_withdrawal_per!$BH$2:$BH$179 )</f>
        <v>61.267</v>
      </c>
      <c r="I167" s="17" t="str">
        <f>_xlfn.XLOOKUP($A167,[6]agricultural_water_withdrawal_p!$A$2:$A$180,[6]agricultural_water_withdrawal_p!$BH$2:$BH$180 )</f>
        <v>4.9323</v>
      </c>
      <c r="J167" s="17" t="str">
        <f>_xlfn.XLOOKUP($A167,[7]total_water_withdrawal_billion_!$A$2:$A$180, [7]total_water_withdrawal_billion_!$BK$2:$BK$180  )</f>
        <v>2.068</v>
      </c>
      <c r="K167" s="17" t="str">
        <f>_xlfn.XLOOKUP($A167,[8]hydro_power_generation_total!$A$2:$A$119,[8]hydro_power_generation_total!$BA$2:$BA$119 )</f>
        <v>5709000</v>
      </c>
      <c r="L167" s="17" t="str">
        <f>_xlfn.XLOOKUP($A167,[9]ag_lnd_prcp_mm!$A$2:$A$182, [9]ag_lnd_prcp_mm!$BL$2:$BL$182)</f>
        <v>624</v>
      </c>
      <c r="M167" s="17" t="str">
        <f>_xlfn.XLOOKUP($A167,[10]co2_pcap_cons!$A$2:$A$193, [10]co2_pcap_cons!$HQ$2:$HQ$193)</f>
        <v>5.956</v>
      </c>
      <c r="N167" s="17" t="str">
        <f>_xlfn.XLOOKUP($A167,[11]primary_forest_area_ha!$A$2:$A$193, [11]primary_forest_area_ha!$AD$2:$AD$193)</f>
        <v>2417000</v>
      </c>
      <c r="O167" s="17" t="str">
        <f>_xlfn.XLOOKUP($A167,[12]en_mam_thrd_no!$A$2:$A$195,[12]en_mam_thrd_no!$G$2:$G$195)</f>
        <v>1</v>
      </c>
      <c r="P167" s="17" t="str">
        <f>_xlfn.XLOOKUP($A167,[13]en_fsh_thrd_no!$A$2:$A$195,[13]en_fsh_thrd_no!$G$2:$G$195)</f>
        <v>24</v>
      </c>
      <c r="Q167" s="17" t="str">
        <f>_xlfn.XLOOKUP($A167,[14]en_bir_thrd_no!$A$2:$A$195,[14]en_bir_thrd_no!$G$2:$G$195)</f>
        <v>12</v>
      </c>
      <c r="R167" s="17" t="str">
        <f>_xlfn.XLOOKUP($A167,[15]en_hpt_thrd_no!$A$2:$A$195,[15]en_hpt_thrd_no!$G$2:$G$195)</f>
        <v>12</v>
      </c>
      <c r="S167" s="17" t="str">
        <f>_xlfn.XLOOKUP($A167,[16]er_lnd_ptld_zs!$A$2:$A$194, [16]er_lnd_ptld_zs!$O$2:$O$194)</f>
        <v>15.8</v>
      </c>
      <c r="T167" s="17" t="str">
        <f>_xlfn.XLOOKUP($A167,[17]er_mrn_ptmr_zs!$A$2:$A$155,[17]er_mrn_ptmr_zs!$O$2:$O$155)</f>
        <v>16.1</v>
      </c>
    </row>
    <row r="168" spans="1:20" x14ac:dyDescent="0.2">
      <c r="A168" t="s">
        <v>498</v>
      </c>
      <c r="B168" t="s">
        <v>499</v>
      </c>
      <c r="C168" s="18" t="str">
        <f>_xlfn.XLOOKUP(A168,[1]Tabelle1!$A$2:$A$196,[1]Tabelle1!$C$2:$C$196)</f>
        <v>africa</v>
      </c>
      <c r="D168" t="s">
        <v>500</v>
      </c>
      <c r="E168" s="17" t="str">
        <f>_xlfn.XLOOKUP(A168,[2]lex!$A$2:$A$195, [2]lex!$HU$2:$HU$195)</f>
        <v>61.18</v>
      </c>
      <c r="F168" s="17" t="str">
        <f>_xlfn.XLOOKUP(A168,[3]gdp_pcap!$A$2:$A$194,[3]gdp_pcap!$HT$2:$HT$194 )</f>
        <v>11069.57117</v>
      </c>
      <c r="G168" s="17" t="str">
        <f>_xlfn.XLOOKUP($A168,[4]ag_lnd_totl_k2!$A$2:$A$195, [4]ag_lnd_totl_k2!$BM$2:$BM$195)</f>
        <v>17200</v>
      </c>
      <c r="H168" s="17" t="str">
        <f>_xlfn.XLOOKUP($A168,[5]industrial_water_withdrawal_per!$A$2:$A$179,[5]industrial_water_withdrawal_per!$BH$2:$BH$179 )</f>
        <v>1.9382</v>
      </c>
      <c r="I168" s="17" t="str">
        <f>_xlfn.XLOOKUP($A168,[6]agricultural_water_withdrawal_p!$A$2:$A$180,[6]agricultural_water_withdrawal_p!$BH$2:$BH$180 )</f>
        <v>94.195</v>
      </c>
      <c r="J168" s="17" t="str">
        <f>_xlfn.XLOOKUP($A168,[7]total_water_withdrawal_billion_!$A$2:$A$180, [7]total_water_withdrawal_billion_!$BK$2:$BK$180  )</f>
        <v>1.068</v>
      </c>
      <c r="K168" s="17" t="e">
        <f>_xlfn.XLOOKUP($A168,[8]hydro_power_generation_total!$A$2:$A$119,[8]hydro_power_generation_total!$BA$2:$BA$119 )</f>
        <v>#N/A</v>
      </c>
      <c r="L168" s="17" t="str">
        <f>_xlfn.XLOOKUP($A168,[9]ag_lnd_prcp_mm!$A$2:$A$182, [9]ag_lnd_prcp_mm!$BL$2:$BL$182)</f>
        <v>788</v>
      </c>
      <c r="M168" s="17" t="str">
        <f>_xlfn.XLOOKUP($A168,[10]co2_pcap_cons!$A$2:$A$193, [10]co2_pcap_cons!$HQ$2:$HQ$193)</f>
        <v>1.153</v>
      </c>
      <c r="N168" s="17">
        <f>_xlfn.XLOOKUP($A168,[11]primary_forest_area_ha!$A$2:$A$193, [11]primary_forest_area_ha!$AD$2:$AD$193)</f>
        <v>0</v>
      </c>
      <c r="O168" s="17" t="str">
        <f>_xlfn.XLOOKUP($A168,[12]en_mam_thrd_no!$A$2:$A$195,[12]en_mam_thrd_no!$G$2:$G$195)</f>
        <v>9</v>
      </c>
      <c r="P168" s="17" t="str">
        <f>_xlfn.XLOOKUP($A168,[13]en_fsh_thrd_no!$A$2:$A$195,[13]en_fsh_thrd_no!$G$2:$G$195)</f>
        <v>5</v>
      </c>
      <c r="Q168" s="17" t="str">
        <f>_xlfn.XLOOKUP($A168,[14]en_bir_thrd_no!$A$2:$A$195,[14]en_bir_thrd_no!$G$2:$G$195)</f>
        <v>15</v>
      </c>
      <c r="R168" s="17" t="str">
        <f>_xlfn.XLOOKUP($A168,[15]en_hpt_thrd_no!$A$2:$A$195,[15]en_hpt_thrd_no!$G$2:$G$195)</f>
        <v>14</v>
      </c>
      <c r="S168" s="17" t="str">
        <f>_xlfn.XLOOKUP($A168,[16]er_lnd_ptld_zs!$A$2:$A$194, [16]er_lnd_ptld_zs!$O$2:$O$194)</f>
        <v>4.2</v>
      </c>
      <c r="T168" s="17" t="e">
        <f>_xlfn.XLOOKUP($A168,[17]er_mrn_ptmr_zs!$A$2:$A$155,[17]er_mrn_ptmr_zs!$O$2:$O$155)</f>
        <v>#N/A</v>
      </c>
    </row>
    <row r="169" spans="1:20" x14ac:dyDescent="0.2">
      <c r="A169" t="s">
        <v>501</v>
      </c>
      <c r="B169" t="s">
        <v>502</v>
      </c>
      <c r="C169" s="18" t="str">
        <f>_xlfn.XLOOKUP(A169,[1]Tabelle1!$A$2:$A$196,[1]Tabelle1!$C$2:$C$196)</f>
        <v>africa</v>
      </c>
      <c r="D169" t="s">
        <v>503</v>
      </c>
      <c r="E169" s="17" t="str">
        <f>_xlfn.XLOOKUP(A169,[2]lex!$A$2:$A$195, [2]lex!$HU$2:$HU$195)</f>
        <v>75.51</v>
      </c>
      <c r="F169" s="17" t="str">
        <f>_xlfn.XLOOKUP(A169,[3]gdp_pcap!$A$2:$A$194,[3]gdp_pcap!$HT$2:$HT$194 )</f>
        <v>30802.63006</v>
      </c>
      <c r="G169" s="17" t="str">
        <f>_xlfn.XLOOKUP($A169,[4]ag_lnd_totl_k2!$A$2:$A$195, [4]ag_lnd_totl_k2!$BM$2:$BM$195)</f>
        <v>460</v>
      </c>
      <c r="H169" s="17" t="str">
        <f>_xlfn.XLOOKUP($A169,[5]industrial_water_withdrawal_per!$A$2:$A$179,[5]industrial_water_withdrawal_per!$BH$2:$BH$179 )</f>
        <v>27.737</v>
      </c>
      <c r="I169" s="17" t="str">
        <f>_xlfn.XLOOKUP($A169,[6]agricultural_water_withdrawal_p!$A$2:$A$180,[6]agricultural_water_withdrawal_p!$BH$2:$BH$180 )</f>
        <v>6.5693</v>
      </c>
      <c r="J169" s="17" t="str">
        <f>_xlfn.XLOOKUP($A169,[7]total_water_withdrawal_billion_!$A$2:$A$180, [7]total_water_withdrawal_billion_!$BK$2:$BK$180  )</f>
        <v>0.0137</v>
      </c>
      <c r="K169" s="17" t="e">
        <f>_xlfn.XLOOKUP($A169,[8]hydro_power_generation_total!$A$2:$A$119,[8]hydro_power_generation_total!$BA$2:$BA$119 )</f>
        <v>#N/A</v>
      </c>
      <c r="L169" s="17" t="str">
        <f>_xlfn.XLOOKUP($A169,[9]ag_lnd_prcp_mm!$A$2:$A$182, [9]ag_lnd_prcp_mm!$BL$2:$BL$182)</f>
        <v>2330</v>
      </c>
      <c r="M169" s="17" t="str">
        <f>_xlfn.XLOOKUP($A169,[10]co2_pcap_cons!$A$2:$A$193, [10]co2_pcap_cons!$HQ$2:$HQ$193)</f>
        <v>7.377</v>
      </c>
      <c r="N169" s="17" t="str">
        <f>_xlfn.XLOOKUP($A169,[11]primary_forest_area_ha!$A$2:$A$193, [11]primary_forest_area_ha!$AD$2:$AD$193)</f>
        <v>2000</v>
      </c>
      <c r="O169" s="17" t="str">
        <f>_xlfn.XLOOKUP($A169,[12]en_mam_thrd_no!$A$2:$A$195,[12]en_mam_thrd_no!$G$2:$G$195)</f>
        <v>7</v>
      </c>
      <c r="P169" s="17" t="str">
        <f>_xlfn.XLOOKUP($A169,[13]en_fsh_thrd_no!$A$2:$A$195,[13]en_fsh_thrd_no!$G$2:$G$195)</f>
        <v>41</v>
      </c>
      <c r="Q169" s="17" t="str">
        <f>_xlfn.XLOOKUP($A169,[14]en_bir_thrd_no!$A$2:$A$195,[14]en_bir_thrd_no!$G$2:$G$195)</f>
        <v>13</v>
      </c>
      <c r="R169" s="17" t="str">
        <f>_xlfn.XLOOKUP($A169,[15]en_hpt_thrd_no!$A$2:$A$195,[15]en_hpt_thrd_no!$G$2:$G$195)</f>
        <v>61</v>
      </c>
      <c r="S169" s="17" t="str">
        <f>_xlfn.XLOOKUP($A169,[16]er_lnd_ptld_zs!$A$2:$A$194, [16]er_lnd_ptld_zs!$O$2:$O$194)</f>
        <v>68.1</v>
      </c>
      <c r="T169" s="17" t="str">
        <f>_xlfn.XLOOKUP($A169,[17]er_mrn_ptmr_zs!$A$2:$A$155,[17]er_mrn_ptmr_zs!$O$2:$O$155)</f>
        <v>32.6</v>
      </c>
    </row>
    <row r="170" spans="1:20" x14ac:dyDescent="0.2">
      <c r="A170" t="s">
        <v>504</v>
      </c>
      <c r="B170" t="s">
        <v>505</v>
      </c>
      <c r="C170" s="18" t="str">
        <f>_xlfn.XLOOKUP(A170,[1]Tabelle1!$A$2:$A$196,[1]Tabelle1!$C$2:$C$196)</f>
        <v>asia</v>
      </c>
      <c r="D170" t="s">
        <v>506</v>
      </c>
      <c r="E170" s="17" t="str">
        <f>_xlfn.XLOOKUP(A170,[2]lex!$A$2:$A$195, [2]lex!$HU$2:$HU$195)</f>
        <v>76.76</v>
      </c>
      <c r="F170" s="17" t="str">
        <f>_xlfn.XLOOKUP(A170,[3]gdp_pcap!$A$2:$A$194,[3]gdp_pcap!$HT$2:$HT$194 )</f>
        <v>4085.72011</v>
      </c>
      <c r="G170" s="17" t="str">
        <f>_xlfn.XLOOKUP($A170,[4]ag_lnd_totl_k2!$A$2:$A$195, [4]ag_lnd_totl_k2!$BM$2:$BM$195)</f>
        <v>183630</v>
      </c>
      <c r="H170" s="17" t="str">
        <f>_xlfn.XLOOKUP($A170,[5]industrial_water_withdrawal_per!$A$2:$A$179,[5]industrial_water_withdrawal_per!$BH$2:$BH$179 )</f>
        <v>3.6718</v>
      </c>
      <c r="I170" s="17" t="str">
        <f>_xlfn.XLOOKUP($A170,[6]agricultural_water_withdrawal_p!$A$2:$A$180,[6]agricultural_water_withdrawal_p!$BH$2:$BH$180 )</f>
        <v>87.528</v>
      </c>
      <c r="J170" s="17" t="str">
        <f>_xlfn.XLOOKUP($A170,[7]total_water_withdrawal_billion_!$A$2:$A$180, [7]total_water_withdrawal_billion_!$BK$2:$BK$180  )</f>
        <v>16.76</v>
      </c>
      <c r="K170" s="17" t="str">
        <f>_xlfn.XLOOKUP($A170,[8]hydro_power_generation_total!$A$2:$A$119,[8]hydro_power_generation_total!$BA$2:$BA$119 )</f>
        <v>222900</v>
      </c>
      <c r="L170" s="17" t="str">
        <f>_xlfn.XLOOKUP($A170,[9]ag_lnd_prcp_mm!$A$2:$A$182, [9]ag_lnd_prcp_mm!$BL$2:$BL$182)</f>
        <v>252</v>
      </c>
      <c r="M170" s="17" t="str">
        <f>_xlfn.XLOOKUP($A170,[10]co2_pcap_cons!$A$2:$A$193, [10]co2_pcap_cons!$HQ$2:$HQ$193)</f>
        <v>1.852</v>
      </c>
      <c r="N170" s="17">
        <f>_xlfn.XLOOKUP($A170,[11]primary_forest_area_ha!$A$2:$A$193, [11]primary_forest_area_ha!$AD$2:$AD$193)</f>
        <v>0</v>
      </c>
      <c r="O170" s="17" t="str">
        <f>_xlfn.XLOOKUP($A170,[12]en_mam_thrd_no!$A$2:$A$195,[12]en_mam_thrd_no!$G$2:$G$195)</f>
        <v>15</v>
      </c>
      <c r="P170" s="17" t="str">
        <f>_xlfn.XLOOKUP($A170,[13]en_fsh_thrd_no!$A$2:$A$195,[13]en_fsh_thrd_no!$G$2:$G$195)</f>
        <v>64</v>
      </c>
      <c r="Q170" s="17" t="str">
        <f>_xlfn.XLOOKUP($A170,[14]en_bir_thrd_no!$A$2:$A$195,[14]en_bir_thrd_no!$G$2:$G$195)</f>
        <v>18</v>
      </c>
      <c r="R170" s="17" t="str">
        <f>_xlfn.XLOOKUP($A170,[15]en_hpt_thrd_no!$A$2:$A$195,[15]en_hpt_thrd_no!$G$2:$G$195)</f>
        <v>44</v>
      </c>
      <c r="S170" s="17" t="str">
        <f>_xlfn.XLOOKUP($A170,[16]er_lnd_ptld_zs!$A$2:$A$194, [16]er_lnd_ptld_zs!$O$2:$O$194)</f>
        <v>0.7</v>
      </c>
      <c r="T170" s="17" t="str">
        <f>_xlfn.XLOOKUP($A170,[17]er_mrn_ptmr_zs!$A$2:$A$155,[17]er_mrn_ptmr_zs!$O$2:$O$155)</f>
        <v>0.2</v>
      </c>
    </row>
    <row r="171" spans="1:20" x14ac:dyDescent="0.2">
      <c r="A171" t="s">
        <v>507</v>
      </c>
      <c r="B171" t="s">
        <v>508</v>
      </c>
      <c r="C171" s="18" t="str">
        <f>_xlfn.XLOOKUP(A171,[1]Tabelle1!$A$2:$A$196,[1]Tabelle1!$C$2:$C$196)</f>
        <v>africa</v>
      </c>
      <c r="D171" t="s">
        <v>509</v>
      </c>
      <c r="E171" s="17" t="str">
        <f>_xlfn.XLOOKUP(A171,[2]lex!$A$2:$A$195, [2]lex!$HU$2:$HU$195)</f>
        <v>58.53</v>
      </c>
      <c r="F171" s="17" t="str">
        <f>_xlfn.XLOOKUP(A171,[3]gdp_pcap!$A$2:$A$194,[3]gdp_pcap!$HT$2:$HT$194 )</f>
        <v>2645.81191</v>
      </c>
      <c r="G171" s="17" t="str">
        <f>_xlfn.XLOOKUP($A171,[4]ag_lnd_totl_k2!$A$2:$A$195, [4]ag_lnd_totl_k2!$BM$2:$BM$195)</f>
        <v>1259200</v>
      </c>
      <c r="H171" s="17" t="str">
        <f>_xlfn.XLOOKUP($A171,[5]industrial_water_withdrawal_per!$A$2:$A$179,[5]industrial_water_withdrawal_per!$BH$2:$BH$179 )</f>
        <v>11.789</v>
      </c>
      <c r="I171" s="17" t="str">
        <f>_xlfn.XLOOKUP($A171,[6]agricultural_water_withdrawal_p!$A$2:$A$180,[6]agricultural_water_withdrawal_p!$BH$2:$BH$180 )</f>
        <v>76.421</v>
      </c>
      <c r="J171" s="17" t="str">
        <f>_xlfn.XLOOKUP($A171,[7]total_water_withdrawal_billion_!$A$2:$A$180, [7]total_water_withdrawal_billion_!$BK$2:$BK$180  )</f>
        <v>0.8796</v>
      </c>
      <c r="K171" s="17" t="e">
        <f>_xlfn.XLOOKUP($A171,[8]hydro_power_generation_total!$A$2:$A$119,[8]hydro_power_generation_total!$BA$2:$BA$119 )</f>
        <v>#N/A</v>
      </c>
      <c r="L171" s="17" t="str">
        <f>_xlfn.XLOOKUP($A171,[9]ag_lnd_prcp_mm!$A$2:$A$182, [9]ag_lnd_prcp_mm!$BL$2:$BL$182)</f>
        <v>322</v>
      </c>
      <c r="M171" s="17" t="str">
        <f>_xlfn.XLOOKUP($A171,[10]co2_pcap_cons!$A$2:$A$193, [10]co2_pcap_cons!$HQ$2:$HQ$193)</f>
        <v>0.072</v>
      </c>
      <c r="N171" s="17">
        <f>_xlfn.XLOOKUP($A171,[11]primary_forest_area_ha!$A$2:$A$193, [11]primary_forest_area_ha!$AD$2:$AD$193)</f>
        <v>0</v>
      </c>
      <c r="O171" s="17" t="str">
        <f>_xlfn.XLOOKUP($A171,[12]en_mam_thrd_no!$A$2:$A$195,[12]en_mam_thrd_no!$G$2:$G$195)</f>
        <v>16</v>
      </c>
      <c r="P171" s="17" t="str">
        <f>_xlfn.XLOOKUP($A171,[13]en_fsh_thrd_no!$A$2:$A$195,[13]en_fsh_thrd_no!$G$2:$G$195)</f>
        <v>1</v>
      </c>
      <c r="Q171" s="17" t="str">
        <f>_xlfn.XLOOKUP($A171,[14]en_bir_thrd_no!$A$2:$A$195,[14]en_bir_thrd_no!$G$2:$G$195)</f>
        <v>20</v>
      </c>
      <c r="R171" s="17" t="str">
        <f>_xlfn.XLOOKUP($A171,[15]en_hpt_thrd_no!$A$2:$A$195,[15]en_hpt_thrd_no!$G$2:$G$195)</f>
        <v>7</v>
      </c>
      <c r="S171" s="17" t="str">
        <f>_xlfn.XLOOKUP($A171,[16]er_lnd_ptld_zs!$A$2:$A$194, [16]er_lnd_ptld_zs!$O$2:$O$194)</f>
        <v>21</v>
      </c>
      <c r="T171" s="17" t="e">
        <f>_xlfn.XLOOKUP($A171,[17]er_mrn_ptmr_zs!$A$2:$A$155,[17]er_mrn_ptmr_zs!$O$2:$O$155)</f>
        <v>#N/A</v>
      </c>
    </row>
    <row r="172" spans="1:20" x14ac:dyDescent="0.2">
      <c r="A172" t="s">
        <v>510</v>
      </c>
      <c r="B172" t="s">
        <v>511</v>
      </c>
      <c r="C172" s="18" t="str">
        <f>_xlfn.XLOOKUP(A172,[1]Tabelle1!$A$2:$A$196,[1]Tabelle1!$C$2:$C$196)</f>
        <v>africa</v>
      </c>
      <c r="D172" t="s">
        <v>512</v>
      </c>
      <c r="E172" s="17" t="str">
        <f>_xlfn.XLOOKUP(A172,[2]lex!$A$2:$A$195, [2]lex!$HU$2:$HU$195)</f>
        <v>65.12</v>
      </c>
      <c r="F172" s="17" t="str">
        <f>_xlfn.XLOOKUP(A172,[3]gdp_pcap!$A$2:$A$194,[3]gdp_pcap!$HT$2:$HT$194 )</f>
        <v>3007.55596</v>
      </c>
      <c r="G172" s="17" t="str">
        <f>_xlfn.XLOOKUP($A172,[4]ag_lnd_totl_k2!$A$2:$A$195, [4]ag_lnd_totl_k2!$BM$2:$BM$195)</f>
        <v>54390</v>
      </c>
      <c r="H172" s="17" t="str">
        <f>_xlfn.XLOOKUP($A172,[5]industrial_water_withdrawal_per!$A$2:$A$179,[5]industrial_water_withdrawal_per!$BH$2:$BH$179 )</f>
        <v>2.8251</v>
      </c>
      <c r="I172" s="17" t="str">
        <f>_xlfn.XLOOKUP($A172,[6]agricultural_water_withdrawal_p!$A$2:$A$180,[6]agricultural_water_withdrawal_p!$BH$2:$BH$180 )</f>
        <v>34.081</v>
      </c>
      <c r="J172" s="17" t="str">
        <f>_xlfn.XLOOKUP($A172,[7]total_water_withdrawal_billion_!$A$2:$A$180, [7]total_water_withdrawal_billion_!$BK$2:$BK$180  )</f>
        <v>0.223</v>
      </c>
      <c r="K172" s="17" t="str">
        <f>_xlfn.XLOOKUP($A172,[8]hydro_power_generation_total!$A$2:$A$119,[8]hydro_power_generation_total!$BA$2:$BA$119 )</f>
        <v>8340</v>
      </c>
      <c r="L172" s="17" t="str">
        <f>_xlfn.XLOOKUP($A172,[9]ag_lnd_prcp_mm!$A$2:$A$182, [9]ag_lnd_prcp_mm!$BL$2:$BL$182)</f>
        <v>1168</v>
      </c>
      <c r="M172" s="17" t="str">
        <f>_xlfn.XLOOKUP($A172,[10]co2_pcap_cons!$A$2:$A$193, [10]co2_pcap_cons!$HQ$2:$HQ$193)</f>
        <v>0.906</v>
      </c>
      <c r="N172" s="17">
        <f>_xlfn.XLOOKUP($A172,[11]primary_forest_area_ha!$A$2:$A$193, [11]primary_forest_area_ha!$AD$2:$AD$193)</f>
        <v>0</v>
      </c>
      <c r="O172" s="17" t="str">
        <f>_xlfn.XLOOKUP($A172,[12]en_mam_thrd_no!$A$2:$A$195,[12]en_mam_thrd_no!$G$2:$G$195)</f>
        <v>16</v>
      </c>
      <c r="P172" s="17" t="str">
        <f>_xlfn.XLOOKUP($A172,[13]en_fsh_thrd_no!$A$2:$A$195,[13]en_fsh_thrd_no!$G$2:$G$195)</f>
        <v>67</v>
      </c>
      <c r="Q172" s="17" t="str">
        <f>_xlfn.XLOOKUP($A172,[14]en_bir_thrd_no!$A$2:$A$195,[14]en_bir_thrd_no!$G$2:$G$195)</f>
        <v>15</v>
      </c>
      <c r="R172" s="17" t="str">
        <f>_xlfn.XLOOKUP($A172,[15]en_hpt_thrd_no!$A$2:$A$195,[15]en_hpt_thrd_no!$G$2:$G$195)</f>
        <v>15</v>
      </c>
      <c r="S172" s="17" t="str">
        <f>_xlfn.XLOOKUP($A172,[16]er_lnd_ptld_zs!$A$2:$A$194, [16]er_lnd_ptld_zs!$O$2:$O$194)</f>
        <v>27.9</v>
      </c>
      <c r="T172" s="17" t="str">
        <f>_xlfn.XLOOKUP($A172,[17]er_mrn_ptmr_zs!$A$2:$A$155,[17]er_mrn_ptmr_zs!$O$2:$O$155)</f>
        <v>0.7</v>
      </c>
    </row>
    <row r="173" spans="1:20" x14ac:dyDescent="0.2">
      <c r="A173" t="s">
        <v>513</v>
      </c>
      <c r="B173" t="s">
        <v>514</v>
      </c>
      <c r="C173" s="18" t="str">
        <f>_xlfn.XLOOKUP(A173,[1]Tabelle1!$A$2:$A$196,[1]Tabelle1!$C$2:$C$196)</f>
        <v>asia</v>
      </c>
      <c r="D173" t="s">
        <v>515</v>
      </c>
      <c r="E173" s="17" t="str">
        <f>_xlfn.XLOOKUP(A173,[2]lex!$A$2:$A$195, [2]lex!$HU$2:$HU$195)</f>
        <v>78.21</v>
      </c>
      <c r="F173" s="17" t="str">
        <f>_xlfn.XLOOKUP(A173,[3]gdp_pcap!$A$2:$A$194,[3]gdp_pcap!$HT$2:$HT$194 )</f>
        <v>22695.94668</v>
      </c>
      <c r="G173" s="17" t="str">
        <f>_xlfn.XLOOKUP($A173,[4]ag_lnd_totl_k2!$A$2:$A$195, [4]ag_lnd_totl_k2!$BM$2:$BM$195)</f>
        <v>510890</v>
      </c>
      <c r="H173" s="17" t="str">
        <f>_xlfn.XLOOKUP($A173,[5]industrial_water_withdrawal_per!$A$2:$A$179,[5]industrial_water_withdrawal_per!$BH$2:$BH$179 )</f>
        <v>4.8459</v>
      </c>
      <c r="I173" s="17" t="str">
        <f>_xlfn.XLOOKUP($A173,[6]agricultural_water_withdrawal_p!$A$2:$A$180,[6]agricultural_water_withdrawal_p!$BH$2:$BH$180 )</f>
        <v>90.374</v>
      </c>
      <c r="J173" s="17" t="str">
        <f>_xlfn.XLOOKUP($A173,[7]total_water_withdrawal_billion_!$A$2:$A$180, [7]total_water_withdrawal_billion_!$BK$2:$BK$180  )</f>
        <v>57.306</v>
      </c>
      <c r="K173" s="17" t="str">
        <f>_xlfn.XLOOKUP($A173,[8]hydro_power_generation_total!$A$2:$A$119,[8]hydro_power_generation_total!$BA$2:$BA$119 )</f>
        <v>476100</v>
      </c>
      <c r="L173" s="17" t="str">
        <f>_xlfn.XLOOKUP($A173,[9]ag_lnd_prcp_mm!$A$2:$A$182, [9]ag_lnd_prcp_mm!$BL$2:$BL$182)</f>
        <v>1622</v>
      </c>
      <c r="M173" s="17" t="str">
        <f>_xlfn.XLOOKUP($A173,[10]co2_pcap_cons!$A$2:$A$193, [10]co2_pcap_cons!$HQ$2:$HQ$193)</f>
        <v>3.92</v>
      </c>
      <c r="N173" s="17" t="str">
        <f>_xlfn.XLOOKUP($A173,[11]primary_forest_area_ha!$A$2:$A$193, [11]primary_forest_area_ha!$AD$2:$AD$193)</f>
        <v>6726000</v>
      </c>
      <c r="O173" s="17" t="str">
        <f>_xlfn.XLOOKUP($A173,[12]en_mam_thrd_no!$A$2:$A$195,[12]en_mam_thrd_no!$G$2:$G$195)</f>
        <v>64</v>
      </c>
      <c r="P173" s="17" t="str">
        <f>_xlfn.XLOOKUP($A173,[13]en_fsh_thrd_no!$A$2:$A$195,[13]en_fsh_thrd_no!$G$2:$G$195)</f>
        <v>153</v>
      </c>
      <c r="Q173" s="17" t="str">
        <f>_xlfn.XLOOKUP($A173,[14]en_bir_thrd_no!$A$2:$A$195,[14]en_bir_thrd_no!$G$2:$G$195)</f>
        <v>66</v>
      </c>
      <c r="R173" s="17" t="str">
        <f>_xlfn.XLOOKUP($A173,[15]en_hpt_thrd_no!$A$2:$A$195,[15]en_hpt_thrd_no!$G$2:$G$195)</f>
        <v>232</v>
      </c>
      <c r="S173" s="17" t="str">
        <f>_xlfn.XLOOKUP($A173,[16]er_lnd_ptld_zs!$A$2:$A$194, [16]er_lnd_ptld_zs!$O$2:$O$194)</f>
        <v>18.4</v>
      </c>
      <c r="T173" s="17" t="str">
        <f>_xlfn.XLOOKUP($A173,[17]er_mrn_ptmr_zs!$A$2:$A$155,[17]er_mrn_ptmr_zs!$O$2:$O$155)</f>
        <v>5</v>
      </c>
    </row>
    <row r="174" spans="1:20" x14ac:dyDescent="0.2">
      <c r="A174" t="s">
        <v>516</v>
      </c>
      <c r="B174" t="s">
        <v>517</v>
      </c>
      <c r="C174" s="18" t="str">
        <f>_xlfn.XLOOKUP(A174,[1]Tabelle1!$A$2:$A$196,[1]Tabelle1!$C$2:$C$196)</f>
        <v>asia</v>
      </c>
      <c r="D174" t="s">
        <v>518</v>
      </c>
      <c r="E174" s="17" t="str">
        <f>_xlfn.XLOOKUP(A174,[2]lex!$A$2:$A$195, [2]lex!$HU$2:$HU$195)</f>
        <v>72.2</v>
      </c>
      <c r="F174" s="17" t="str">
        <f>_xlfn.XLOOKUP(A174,[3]gdp_pcap!$A$2:$A$194,[3]gdp_pcap!$HT$2:$HT$194 )</f>
        <v>5122.38472</v>
      </c>
      <c r="G174" s="17" t="str">
        <f>_xlfn.XLOOKUP($A174,[4]ag_lnd_totl_k2!$A$2:$A$195, [4]ag_lnd_totl_k2!$BM$2:$BM$195)</f>
        <v>138790</v>
      </c>
      <c r="H174" s="17" t="str">
        <f>_xlfn.XLOOKUP($A174,[5]industrial_water_withdrawal_per!$A$2:$A$179,[5]industrial_water_withdrawal_per!$BH$2:$BH$179 )</f>
        <v>16.263</v>
      </c>
      <c r="I174" s="17" t="str">
        <f>_xlfn.XLOOKUP($A174,[6]agricultural_water_withdrawal_p!$A$2:$A$180,[6]agricultural_water_withdrawal_p!$BH$2:$BH$180 )</f>
        <v>74.525</v>
      </c>
      <c r="J174" s="17" t="str">
        <f>_xlfn.XLOOKUP($A174,[7]total_water_withdrawal_billion_!$A$2:$A$180, [7]total_water_withdrawal_billion_!$BK$2:$BK$180  )</f>
        <v>9.9</v>
      </c>
      <c r="K174" s="17" t="str">
        <f>_xlfn.XLOOKUP($A174,[8]hydro_power_generation_total!$A$2:$A$119,[8]hydro_power_generation_total!$BA$2:$BA$119 )</f>
        <v>1362000</v>
      </c>
      <c r="L174" s="17" t="str">
        <f>_xlfn.XLOOKUP($A174,[9]ag_lnd_prcp_mm!$A$2:$A$182, [9]ag_lnd_prcp_mm!$BL$2:$BL$182)</f>
        <v>691</v>
      </c>
      <c r="M174" s="17" t="str">
        <f>_xlfn.XLOOKUP($A174,[10]co2_pcap_cons!$A$2:$A$193, [10]co2_pcap_cons!$HQ$2:$HQ$193)</f>
        <v>1.47</v>
      </c>
      <c r="N174" s="17" t="str">
        <f>_xlfn.XLOOKUP($A174,[11]primary_forest_area_ha!$A$2:$A$193, [11]primary_forest_area_ha!$AD$2:$AD$193)</f>
        <v>297000</v>
      </c>
      <c r="O174" s="17" t="str">
        <f>_xlfn.XLOOKUP($A174,[12]en_mam_thrd_no!$A$2:$A$195,[12]en_mam_thrd_no!$G$2:$G$195)</f>
        <v>7</v>
      </c>
      <c r="P174" s="17" t="str">
        <f>_xlfn.XLOOKUP($A174,[13]en_fsh_thrd_no!$A$2:$A$195,[13]en_fsh_thrd_no!$G$2:$G$195)</f>
        <v>7</v>
      </c>
      <c r="Q174" s="17" t="str">
        <f>_xlfn.XLOOKUP($A174,[14]en_bir_thrd_no!$A$2:$A$195,[14]en_bir_thrd_no!$G$2:$G$195)</f>
        <v>15</v>
      </c>
      <c r="R174" s="17" t="str">
        <f>_xlfn.XLOOKUP($A174,[15]en_hpt_thrd_no!$A$2:$A$195,[15]en_hpt_thrd_no!$G$2:$G$195)</f>
        <v>11</v>
      </c>
      <c r="S174" s="17" t="str">
        <f>_xlfn.XLOOKUP($A174,[16]er_lnd_ptld_zs!$A$2:$A$194, [16]er_lnd_ptld_zs!$O$2:$O$194)</f>
        <v>22.6</v>
      </c>
      <c r="T174" s="17" t="e">
        <f>_xlfn.XLOOKUP($A174,[17]er_mrn_ptmr_zs!$A$2:$A$155,[17]er_mrn_ptmr_zs!$O$2:$O$155)</f>
        <v>#N/A</v>
      </c>
    </row>
    <row r="175" spans="1:20" x14ac:dyDescent="0.2">
      <c r="A175" t="s">
        <v>519</v>
      </c>
      <c r="B175" t="s">
        <v>520</v>
      </c>
      <c r="C175" s="18" t="str">
        <f>_xlfn.XLOOKUP(A175,[1]Tabelle1!$A$2:$A$196,[1]Tabelle1!$C$2:$C$196)</f>
        <v>asia</v>
      </c>
      <c r="D175" t="s">
        <v>521</v>
      </c>
      <c r="E175" s="17" t="str">
        <f>_xlfn.XLOOKUP(A175,[2]lex!$A$2:$A$195, [2]lex!$HU$2:$HU$195)</f>
        <v>71.51</v>
      </c>
      <c r="F175" s="17" t="str">
        <f>_xlfn.XLOOKUP(A175,[3]gdp_pcap!$A$2:$A$194,[3]gdp_pcap!$HT$2:$HT$194 )</f>
        <v>18623.63459</v>
      </c>
      <c r="G175" s="17" t="str">
        <f>_xlfn.XLOOKUP($A175,[4]ag_lnd_totl_k2!$A$2:$A$195, [4]ag_lnd_totl_k2!$BM$2:$BM$195)</f>
        <v>469930</v>
      </c>
      <c r="H175" s="17" t="str">
        <f>_xlfn.XLOOKUP($A175,[5]industrial_water_withdrawal_per!$A$2:$A$179,[5]industrial_water_withdrawal_per!$BH$2:$BH$179 )</f>
        <v>4.642</v>
      </c>
      <c r="I175" s="17" t="str">
        <f>_xlfn.XLOOKUP($A175,[6]agricultural_water_withdrawal_p!$A$2:$A$180,[6]agricultural_water_withdrawal_p!$BH$2:$BH$180 )</f>
        <v>92.749</v>
      </c>
      <c r="J175" s="17" t="str">
        <f>_xlfn.XLOOKUP($A175,[7]total_water_withdrawal_billion_!$A$2:$A$180, [7]total_water_withdrawal_billion_!$BK$2:$BK$180  )</f>
        <v>17.38</v>
      </c>
      <c r="K175" s="17" t="str">
        <f>_xlfn.XLOOKUP($A175,[8]hydro_power_generation_total!$A$2:$A$119,[8]hydro_power_generation_total!$BA$2:$BA$119 )</f>
        <v>258</v>
      </c>
      <c r="L175" s="17" t="str">
        <f>_xlfn.XLOOKUP($A175,[9]ag_lnd_prcp_mm!$A$2:$A$182, [9]ag_lnd_prcp_mm!$BL$2:$BL$182)</f>
        <v>161</v>
      </c>
      <c r="M175" s="17" t="str">
        <f>_xlfn.XLOOKUP($A175,[10]co2_pcap_cons!$A$2:$A$193, [10]co2_pcap_cons!$HQ$2:$HQ$193)</f>
        <v>15.535</v>
      </c>
      <c r="N175" s="17" t="str">
        <f>_xlfn.XLOOKUP($A175,[11]primary_forest_area_ha!$A$2:$A$193, [11]primary_forest_area_ha!$AD$2:$AD$193)</f>
        <v>104000</v>
      </c>
      <c r="O175" s="17" t="str">
        <f>_xlfn.XLOOKUP($A175,[12]en_mam_thrd_no!$A$2:$A$195,[12]en_mam_thrd_no!$G$2:$G$195)</f>
        <v>9</v>
      </c>
      <c r="P175" s="17" t="str">
        <f>_xlfn.XLOOKUP($A175,[13]en_fsh_thrd_no!$A$2:$A$195,[13]en_fsh_thrd_no!$G$2:$G$195)</f>
        <v>14</v>
      </c>
      <c r="Q175" s="17" t="str">
        <f>_xlfn.XLOOKUP($A175,[14]en_bir_thrd_no!$A$2:$A$195,[14]en_bir_thrd_no!$G$2:$G$195)</f>
        <v>19</v>
      </c>
      <c r="R175" s="17" t="str">
        <f>_xlfn.XLOOKUP($A175,[15]en_hpt_thrd_no!$A$2:$A$195,[15]en_hpt_thrd_no!$G$2:$G$195)</f>
        <v>4</v>
      </c>
      <c r="S175" s="17" t="str">
        <f>_xlfn.XLOOKUP($A175,[16]er_lnd_ptld_zs!$A$2:$A$194, [16]er_lnd_ptld_zs!$O$2:$O$194)</f>
        <v>4.3</v>
      </c>
      <c r="T175" s="17" t="str">
        <f>_xlfn.XLOOKUP($A175,[17]er_mrn_ptmr_zs!$A$2:$A$155,[17]er_mrn_ptmr_zs!$O$2:$O$155)</f>
        <v>4.2</v>
      </c>
    </row>
    <row r="176" spans="1:20" x14ac:dyDescent="0.2">
      <c r="A176" t="s">
        <v>522</v>
      </c>
      <c r="B176" t="s">
        <v>523</v>
      </c>
      <c r="C176" s="18" t="str">
        <f>_xlfn.XLOOKUP(A176,[1]Tabelle1!$A$2:$A$196,[1]Tabelle1!$C$2:$C$196)</f>
        <v>asia</v>
      </c>
      <c r="D176" t="s">
        <v>524</v>
      </c>
      <c r="E176" s="17" t="str">
        <f>_xlfn.XLOOKUP(A176,[2]lex!$A$2:$A$195, [2]lex!$HU$2:$HU$195)</f>
        <v>70.52</v>
      </c>
      <c r="F176" s="17" t="str">
        <f>_xlfn.XLOOKUP(A176,[3]gdp_pcap!$A$2:$A$194,[3]gdp_pcap!$HT$2:$HT$194 )</f>
        <v>4352.93562</v>
      </c>
      <c r="G176" s="17" t="str">
        <f>_xlfn.XLOOKUP($A176,[4]ag_lnd_totl_k2!$A$2:$A$195, [4]ag_lnd_totl_k2!$BM$2:$BM$195)</f>
        <v>14870</v>
      </c>
      <c r="H176" s="17" t="str">
        <f>_xlfn.XLOOKUP($A176,[5]industrial_water_withdrawal_per!$A$2:$A$179,[5]industrial_water_withdrawal_per!$BH$2:$BH$179 )</f>
        <v>0.17065</v>
      </c>
      <c r="I176" s="17" t="str">
        <f>_xlfn.XLOOKUP($A176,[6]agricultural_water_withdrawal_p!$A$2:$A$180,[6]agricultural_water_withdrawal_p!$BH$2:$BH$180 )</f>
        <v>91.382</v>
      </c>
      <c r="J176" s="17" t="str">
        <f>_xlfn.XLOOKUP($A176,[7]total_water_withdrawal_billion_!$A$2:$A$180, [7]total_water_withdrawal_billion_!$BK$2:$BK$180  )</f>
        <v>1.172</v>
      </c>
      <c r="K176" s="17" t="e">
        <f>_xlfn.XLOOKUP($A176,[8]hydro_power_generation_total!$A$2:$A$119,[8]hydro_power_generation_total!$BA$2:$BA$119 )</f>
        <v>#N/A</v>
      </c>
      <c r="L176" s="17" t="str">
        <f>_xlfn.XLOOKUP($A176,[9]ag_lnd_prcp_mm!$A$2:$A$182, [9]ag_lnd_prcp_mm!$BL$2:$BL$182)</f>
        <v>1500</v>
      </c>
      <c r="M176" s="17" t="str">
        <f>_xlfn.XLOOKUP($A176,[10]co2_pcap_cons!$A$2:$A$193, [10]co2_pcap_cons!$HQ$2:$HQ$193)</f>
        <v>0.461</v>
      </c>
      <c r="N176" s="17">
        <f>_xlfn.XLOOKUP($A176,[11]primary_forest_area_ha!$A$2:$A$193, [11]primary_forest_area_ha!$AD$2:$AD$193)</f>
        <v>0</v>
      </c>
      <c r="O176" s="17" t="str">
        <f>_xlfn.XLOOKUP($A176,[12]en_mam_thrd_no!$A$2:$A$195,[12]en_mam_thrd_no!$G$2:$G$195)</f>
        <v>6</v>
      </c>
      <c r="P176" s="17" t="str">
        <f>_xlfn.XLOOKUP($A176,[13]en_fsh_thrd_no!$A$2:$A$195,[13]en_fsh_thrd_no!$G$2:$G$195)</f>
        <v>34</v>
      </c>
      <c r="Q176" s="17" t="str">
        <f>_xlfn.XLOOKUP($A176,[14]en_bir_thrd_no!$A$2:$A$195,[14]en_bir_thrd_no!$G$2:$G$195)</f>
        <v>7</v>
      </c>
      <c r="R176" s="17" t="str">
        <f>_xlfn.XLOOKUP($A176,[15]en_hpt_thrd_no!$A$2:$A$195,[15]en_hpt_thrd_no!$G$2:$G$195)</f>
        <v>7</v>
      </c>
      <c r="S176" s="17" t="str">
        <f>_xlfn.XLOOKUP($A176,[16]er_lnd_ptld_zs!$A$2:$A$194, [16]er_lnd_ptld_zs!$O$2:$O$194)</f>
        <v>16.1</v>
      </c>
      <c r="T176" s="17" t="str">
        <f>_xlfn.XLOOKUP($A176,[17]er_mrn_ptmr_zs!$A$2:$A$155,[17]er_mrn_ptmr_zs!$O$2:$O$155)</f>
        <v>0.7</v>
      </c>
    </row>
    <row r="177" spans="1:20" x14ac:dyDescent="0.2">
      <c r="A177" t="s">
        <v>525</v>
      </c>
      <c r="B177" t="s">
        <v>526</v>
      </c>
      <c r="C177" s="18" t="str">
        <f>_xlfn.XLOOKUP(A177,[1]Tabelle1!$A$2:$A$196,[1]Tabelle1!$C$2:$C$196)</f>
        <v>asia</v>
      </c>
      <c r="D177" t="s">
        <v>527</v>
      </c>
      <c r="E177" s="17" t="str">
        <f>_xlfn.XLOOKUP(A177,[2]lex!$A$2:$A$195, [2]lex!$HU$2:$HU$195)</f>
        <v>72.19</v>
      </c>
      <c r="F177" s="17" t="str">
        <f>_xlfn.XLOOKUP(A177,[3]gdp_pcap!$A$2:$A$194,[3]gdp_pcap!$HT$2:$HT$194 )</f>
        <v>7839.22918</v>
      </c>
      <c r="G177" s="17" t="str">
        <f>_xlfn.XLOOKUP($A177,[4]ag_lnd_totl_k2!$A$2:$A$195, [4]ag_lnd_totl_k2!$BM$2:$BM$195)</f>
        <v>720</v>
      </c>
      <c r="H177" s="17" t="e">
        <f>_xlfn.XLOOKUP($A177,[5]industrial_water_withdrawal_per!$A$2:$A$179,[5]industrial_water_withdrawal_per!$BH$2:$BH$179 )</f>
        <v>#N/A</v>
      </c>
      <c r="I177" s="17" t="e">
        <f>_xlfn.XLOOKUP($A177,[6]agricultural_water_withdrawal_p!$A$2:$A$180,[6]agricultural_water_withdrawal_p!$BH$2:$BH$180 )</f>
        <v>#N/A</v>
      </c>
      <c r="J177" s="17" t="e">
        <f>_xlfn.XLOOKUP($A177,[7]total_water_withdrawal_billion_!$A$2:$A$180, [7]total_water_withdrawal_billion_!$BK$2:$BK$180  )</f>
        <v>#N/A</v>
      </c>
      <c r="K177" s="17" t="e">
        <f>_xlfn.XLOOKUP($A177,[8]hydro_power_generation_total!$A$2:$A$119,[8]hydro_power_generation_total!$BA$2:$BA$119 )</f>
        <v>#N/A</v>
      </c>
      <c r="L177" s="17" t="e">
        <f>_xlfn.XLOOKUP($A177,[9]ag_lnd_prcp_mm!$A$2:$A$182, [9]ag_lnd_prcp_mm!$BL$2:$BL$182)</f>
        <v>#N/A</v>
      </c>
      <c r="M177" s="17" t="str">
        <f>_xlfn.XLOOKUP($A177,[10]co2_pcap_cons!$A$2:$A$193, [10]co2_pcap_cons!$HQ$2:$HQ$193)</f>
        <v>1.419</v>
      </c>
      <c r="N177" s="17" t="str">
        <f>_xlfn.XLOOKUP($A177,[11]primary_forest_area_ha!$A$2:$A$193, [11]primary_forest_area_ha!$AD$2:$AD$193)</f>
        <v>4000</v>
      </c>
      <c r="O177" s="17" t="str">
        <f>_xlfn.XLOOKUP($A177,[12]en_mam_thrd_no!$A$2:$A$195,[12]en_mam_thrd_no!$G$2:$G$195)</f>
        <v>2</v>
      </c>
      <c r="P177" s="17" t="str">
        <f>_xlfn.XLOOKUP($A177,[13]en_fsh_thrd_no!$A$2:$A$195,[13]en_fsh_thrd_no!$G$2:$G$195)</f>
        <v>29</v>
      </c>
      <c r="Q177" s="17" t="str">
        <f>_xlfn.XLOOKUP($A177,[14]en_bir_thrd_no!$A$2:$A$195,[14]en_bir_thrd_no!$G$2:$G$195)</f>
        <v>5</v>
      </c>
      <c r="R177" s="17" t="str">
        <f>_xlfn.XLOOKUP($A177,[15]en_hpt_thrd_no!$A$2:$A$195,[15]en_hpt_thrd_no!$G$2:$G$195)</f>
        <v>10</v>
      </c>
      <c r="S177" s="17" t="str">
        <f>_xlfn.XLOOKUP($A177,[16]er_lnd_ptld_zs!$A$2:$A$194, [16]er_lnd_ptld_zs!$O$2:$O$194)</f>
        <v>13.3</v>
      </c>
      <c r="T177" s="17" t="str">
        <f>_xlfn.XLOOKUP($A177,[17]er_mrn_ptmr_zs!$A$2:$A$155,[17]er_mrn_ptmr_zs!$O$2:$O$155)</f>
        <v>0.1</v>
      </c>
    </row>
    <row r="178" spans="1:20" x14ac:dyDescent="0.2">
      <c r="A178" t="s">
        <v>528</v>
      </c>
      <c r="B178" t="s">
        <v>529</v>
      </c>
      <c r="C178" s="18" t="str">
        <f>_xlfn.XLOOKUP(A178,[1]Tabelle1!$A$2:$A$196,[1]Tabelle1!$C$2:$C$196)</f>
        <v>americas</v>
      </c>
      <c r="D178" t="s">
        <v>530</v>
      </c>
      <c r="E178" s="17" t="str">
        <f>_xlfn.XLOOKUP(A178,[2]lex!$A$2:$A$195, [2]lex!$HU$2:$HU$195)</f>
        <v>73.6</v>
      </c>
      <c r="F178" s="17" t="str">
        <f>_xlfn.XLOOKUP(A178,[3]gdp_pcap!$A$2:$A$194,[3]gdp_pcap!$HT$2:$HT$194 )</f>
        <v>33144.88032</v>
      </c>
      <c r="G178" s="17" t="str">
        <f>_xlfn.XLOOKUP($A178,[4]ag_lnd_totl_k2!$A$2:$A$195, [4]ag_lnd_totl_k2!$BM$2:$BM$195)</f>
        <v>5130</v>
      </c>
      <c r="H178" s="17" t="str">
        <f>_xlfn.XLOOKUP($A178,[5]industrial_water_withdrawal_per!$A$2:$A$179,[5]industrial_water_withdrawal_per!$BH$2:$BH$179 )</f>
        <v>33.638</v>
      </c>
      <c r="I178" s="17" t="str">
        <f>_xlfn.XLOOKUP($A178,[6]agricultural_water_withdrawal_p!$A$2:$A$180,[6]agricultural_water_withdrawal_p!$BH$2:$BH$180 )</f>
        <v>4.358</v>
      </c>
      <c r="J178" s="17" t="str">
        <f>_xlfn.XLOOKUP($A178,[7]total_water_withdrawal_billion_!$A$2:$A$180, [7]total_water_withdrawal_billion_!$BK$2:$BK$180  )</f>
        <v>0.3832</v>
      </c>
      <c r="K178" s="17" t="e">
        <f>_xlfn.XLOOKUP($A178,[8]hydro_power_generation_total!$A$2:$A$119,[8]hydro_power_generation_total!$BA$2:$BA$119 )</f>
        <v>#N/A</v>
      </c>
      <c r="L178" s="17" t="str">
        <f>_xlfn.XLOOKUP($A178,[9]ag_lnd_prcp_mm!$A$2:$A$182, [9]ag_lnd_prcp_mm!$BL$2:$BL$182)</f>
        <v>2200</v>
      </c>
      <c r="M178" s="17" t="str">
        <f>_xlfn.XLOOKUP($A178,[10]co2_pcap_cons!$A$2:$A$193, [10]co2_pcap_cons!$HQ$2:$HQ$193)</f>
        <v>17.72</v>
      </c>
      <c r="N178" s="17" t="str">
        <f>_xlfn.XLOOKUP($A178,[11]primary_forest_area_ha!$A$2:$A$193, [11]primary_forest_area_ha!$AD$2:$AD$193)</f>
        <v>62400</v>
      </c>
      <c r="O178" s="17" t="str">
        <f>_xlfn.XLOOKUP($A178,[12]en_mam_thrd_no!$A$2:$A$195,[12]en_mam_thrd_no!$G$2:$G$195)</f>
        <v>3</v>
      </c>
      <c r="P178" s="17" t="str">
        <f>_xlfn.XLOOKUP($A178,[13]en_fsh_thrd_no!$A$2:$A$195,[13]en_fsh_thrd_no!$G$2:$G$195)</f>
        <v>62</v>
      </c>
      <c r="Q178" s="17" t="str">
        <f>_xlfn.XLOOKUP($A178,[14]en_bir_thrd_no!$A$2:$A$195,[14]en_bir_thrd_no!$G$2:$G$195)</f>
        <v>5</v>
      </c>
      <c r="R178" s="17" t="str">
        <f>_xlfn.XLOOKUP($A178,[15]en_hpt_thrd_no!$A$2:$A$195,[15]en_hpt_thrd_no!$G$2:$G$195)</f>
        <v>58</v>
      </c>
      <c r="S178" s="17" t="str">
        <f>_xlfn.XLOOKUP($A178,[16]er_lnd_ptld_zs!$A$2:$A$194, [16]er_lnd_ptld_zs!$O$2:$O$194)</f>
        <v>30.6</v>
      </c>
      <c r="T178" s="17" t="str">
        <f>_xlfn.XLOOKUP($A178,[17]er_mrn_ptmr_zs!$A$2:$A$155,[17]er_mrn_ptmr_zs!$O$2:$O$155)</f>
        <v>0.1</v>
      </c>
    </row>
    <row r="179" spans="1:20" x14ac:dyDescent="0.2">
      <c r="A179" t="s">
        <v>531</v>
      </c>
      <c r="B179" t="s">
        <v>532</v>
      </c>
      <c r="C179" s="18" t="str">
        <f>_xlfn.XLOOKUP(A179,[1]Tabelle1!$A$2:$A$196,[1]Tabelle1!$C$2:$C$196)</f>
        <v>africa</v>
      </c>
      <c r="D179" t="s">
        <v>533</v>
      </c>
      <c r="E179" s="17" t="str">
        <f>_xlfn.XLOOKUP(A179,[2]lex!$A$2:$A$195, [2]lex!$HU$2:$HU$195)</f>
        <v>76.19</v>
      </c>
      <c r="F179" s="17" t="str">
        <f>_xlfn.XLOOKUP(A179,[3]gdp_pcap!$A$2:$A$194,[3]gdp_pcap!$HT$2:$HT$194 )</f>
        <v>13135.58265</v>
      </c>
      <c r="G179" s="17" t="str">
        <f>_xlfn.XLOOKUP($A179,[4]ag_lnd_totl_k2!$A$2:$A$195, [4]ag_lnd_totl_k2!$BM$2:$BM$195)</f>
        <v>155360</v>
      </c>
      <c r="H179" s="17" t="str">
        <f>_xlfn.XLOOKUP($A179,[5]industrial_water_withdrawal_per!$A$2:$A$179,[5]industrial_water_withdrawal_per!$BH$2:$BH$179 )</f>
        <v>1.7255</v>
      </c>
      <c r="I179" s="17" t="str">
        <f>_xlfn.XLOOKUP($A179,[6]agricultural_water_withdrawal_p!$A$2:$A$180,[6]agricultural_water_withdrawal_p!$BH$2:$BH$180 )</f>
        <v>75.542</v>
      </c>
      <c r="J179" s="17" t="str">
        <f>_xlfn.XLOOKUP($A179,[7]total_water_withdrawal_billion_!$A$2:$A$180, [7]total_water_withdrawal_billion_!$BK$2:$BK$180  )</f>
        <v>3.5874</v>
      </c>
      <c r="K179" s="17" t="str">
        <f>_xlfn.XLOOKUP($A179,[8]hydro_power_generation_total!$A$2:$A$119,[8]hydro_power_generation_total!$BA$2:$BA$119 )</f>
        <v>4299</v>
      </c>
      <c r="L179" s="17" t="str">
        <f>_xlfn.XLOOKUP($A179,[9]ag_lnd_prcp_mm!$A$2:$A$182, [9]ag_lnd_prcp_mm!$BL$2:$BL$182)</f>
        <v>207</v>
      </c>
      <c r="M179" s="17" t="str">
        <f>_xlfn.XLOOKUP($A179,[10]co2_pcap_cons!$A$2:$A$193, [10]co2_pcap_cons!$HQ$2:$HQ$193)</f>
        <v>2.261</v>
      </c>
      <c r="N179" s="17">
        <f>_xlfn.XLOOKUP($A179,[11]primary_forest_area_ha!$A$2:$A$193, [11]primary_forest_area_ha!$AD$2:$AD$193)</f>
        <v>0</v>
      </c>
      <c r="O179" s="17" t="str">
        <f>_xlfn.XLOOKUP($A179,[12]en_mam_thrd_no!$A$2:$A$195,[12]en_mam_thrd_no!$G$2:$G$195)</f>
        <v>15</v>
      </c>
      <c r="P179" s="17" t="str">
        <f>_xlfn.XLOOKUP($A179,[13]en_fsh_thrd_no!$A$2:$A$195,[13]en_fsh_thrd_no!$G$2:$G$195)</f>
        <v>58</v>
      </c>
      <c r="Q179" s="17" t="str">
        <f>_xlfn.XLOOKUP($A179,[14]en_bir_thrd_no!$A$2:$A$195,[14]en_bir_thrd_no!$G$2:$G$195)</f>
        <v>14</v>
      </c>
      <c r="R179" s="17" t="str">
        <f>_xlfn.XLOOKUP($A179,[15]en_hpt_thrd_no!$A$2:$A$195,[15]en_hpt_thrd_no!$G$2:$G$195)</f>
        <v>12</v>
      </c>
      <c r="S179" s="17" t="str">
        <f>_xlfn.XLOOKUP($A179,[16]er_lnd_ptld_zs!$A$2:$A$194, [16]er_lnd_ptld_zs!$O$2:$O$194)</f>
        <v>7.9</v>
      </c>
      <c r="T179" s="17" t="str">
        <f>_xlfn.XLOOKUP($A179,[17]er_mrn_ptmr_zs!$A$2:$A$155,[17]er_mrn_ptmr_zs!$O$2:$O$155)</f>
        <v>1.1</v>
      </c>
    </row>
    <row r="180" spans="1:20" x14ac:dyDescent="0.2">
      <c r="A180" t="s">
        <v>534</v>
      </c>
      <c r="B180" t="s">
        <v>535</v>
      </c>
      <c r="C180" s="18" t="str">
        <f>_xlfn.XLOOKUP(A180,[1]Tabelle1!$A$2:$A$196,[1]Tabelle1!$C$2:$C$196)</f>
        <v>europe</v>
      </c>
      <c r="D180" t="s">
        <v>536</v>
      </c>
      <c r="E180" s="17" t="str">
        <f>_xlfn.XLOOKUP(A180,[2]lex!$A$2:$A$195, [2]lex!$HU$2:$HU$195)</f>
        <v>77.28</v>
      </c>
      <c r="F180" s="17" t="str">
        <f>_xlfn.XLOOKUP(A180,[3]gdp_pcap!$A$2:$A$194,[3]gdp_pcap!$HT$2:$HT$194 )</f>
        <v>36992.96579</v>
      </c>
      <c r="G180" s="17" t="str">
        <f>_xlfn.XLOOKUP($A180,[4]ag_lnd_totl_k2!$A$2:$A$195, [4]ag_lnd_totl_k2!$BM$2:$BM$195)</f>
        <v>769630</v>
      </c>
      <c r="H180" s="17" t="str">
        <f>_xlfn.XLOOKUP($A180,[5]industrial_water_withdrawal_per!$A$2:$A$179,[5]industrial_water_withdrawal_per!$BH$2:$BH$179 )</f>
        <v>2.0083</v>
      </c>
      <c r="I180" s="17" t="str">
        <f>_xlfn.XLOOKUP($A180,[6]agricultural_water_withdrawal_p!$A$2:$A$180,[6]agricultural_water_withdrawal_p!$BH$2:$BH$180 )</f>
        <v>86.927</v>
      </c>
      <c r="J180" s="17" t="str">
        <f>_xlfn.XLOOKUP($A180,[7]total_water_withdrawal_billion_!$A$2:$A$180, [7]total_water_withdrawal_billion_!$BK$2:$BK$180  )</f>
        <v>64.568</v>
      </c>
      <c r="K180" s="17" t="str">
        <f>_xlfn.XLOOKUP($A180,[8]hydro_power_generation_total!$A$2:$A$119,[8]hydro_power_generation_total!$BA$2:$BA$119 )</f>
        <v>4454000</v>
      </c>
      <c r="L180" s="17" t="str">
        <f>_xlfn.XLOOKUP($A180,[9]ag_lnd_prcp_mm!$A$2:$A$182, [9]ag_lnd_prcp_mm!$BL$2:$BL$182)</f>
        <v>593</v>
      </c>
      <c r="M180" s="17" t="str">
        <f>_xlfn.XLOOKUP($A180,[10]co2_pcap_cons!$A$2:$A$193, [10]co2_pcap_cons!$HQ$2:$HQ$193)</f>
        <v>4.946</v>
      </c>
      <c r="N180" s="17" t="str">
        <f>_xlfn.XLOOKUP($A180,[11]primary_forest_area_ha!$A$2:$A$193, [11]primary_forest_area_ha!$AD$2:$AD$193)</f>
        <v>913000</v>
      </c>
      <c r="O180" s="17" t="str">
        <f>_xlfn.XLOOKUP($A180,[12]en_mam_thrd_no!$A$2:$A$195,[12]en_mam_thrd_no!$G$2:$G$195)</f>
        <v>18</v>
      </c>
      <c r="P180" s="17" t="str">
        <f>_xlfn.XLOOKUP($A180,[13]en_fsh_thrd_no!$A$2:$A$195,[13]en_fsh_thrd_no!$G$2:$G$195)</f>
        <v>148</v>
      </c>
      <c r="Q180" s="17" t="str">
        <f>_xlfn.XLOOKUP($A180,[14]en_bir_thrd_no!$A$2:$A$195,[14]en_bir_thrd_no!$G$2:$G$195)</f>
        <v>22</v>
      </c>
      <c r="R180" s="17" t="str">
        <f>_xlfn.XLOOKUP($A180,[15]en_hpt_thrd_no!$A$2:$A$195,[15]en_hpt_thrd_no!$G$2:$G$195)</f>
        <v>135</v>
      </c>
      <c r="S180" s="17" t="str">
        <f>_xlfn.XLOOKUP($A180,[16]er_lnd_ptld_zs!$A$2:$A$194, [16]er_lnd_ptld_zs!$O$2:$O$194)</f>
        <v>7</v>
      </c>
      <c r="T180" s="17" t="str">
        <f>_xlfn.XLOOKUP($A180,[17]er_mrn_ptmr_zs!$A$2:$A$155,[17]er_mrn_ptmr_zs!$O$2:$O$155)</f>
        <v>1.7</v>
      </c>
    </row>
    <row r="181" spans="1:20" x14ac:dyDescent="0.2">
      <c r="A181" t="s">
        <v>537</v>
      </c>
      <c r="B181" t="s">
        <v>538</v>
      </c>
      <c r="C181" s="18" t="str">
        <f>_xlfn.XLOOKUP(A181,[1]Tabelle1!$A$2:$A$196,[1]Tabelle1!$C$2:$C$196)</f>
        <v>asia</v>
      </c>
      <c r="D181" t="s">
        <v>539</v>
      </c>
      <c r="E181" s="17" t="str">
        <f>_xlfn.XLOOKUP(A181,[2]lex!$A$2:$A$195, [2]lex!$HU$2:$HU$195)</f>
        <v>63.77</v>
      </c>
      <c r="F181" s="17" t="str">
        <f>_xlfn.XLOOKUP(A181,[3]gdp_pcap!$A$2:$A$194,[3]gdp_pcap!$HT$2:$HT$194 )</f>
        <v>6632.53597</v>
      </c>
      <c r="G181" s="17" t="str">
        <f>_xlfn.XLOOKUP($A181,[4]ag_lnd_totl_k2!$A$2:$A$195, [4]ag_lnd_totl_k2!$BM$2:$BM$195)</f>
        <v>30</v>
      </c>
      <c r="H181" s="17" t="e">
        <f>_xlfn.XLOOKUP($A181,[5]industrial_water_withdrawal_per!$A$2:$A$179,[5]industrial_water_withdrawal_per!$BH$2:$BH$179 )</f>
        <v>#N/A</v>
      </c>
      <c r="I181" s="17" t="e">
        <f>_xlfn.XLOOKUP($A181,[6]agricultural_water_withdrawal_p!$A$2:$A$180,[6]agricultural_water_withdrawal_p!$BH$2:$BH$180 )</f>
        <v>#N/A</v>
      </c>
      <c r="J181" s="17" t="e">
        <f>_xlfn.XLOOKUP($A181,[7]total_water_withdrawal_billion_!$A$2:$A$180, [7]total_water_withdrawal_billion_!$BK$2:$BK$180  )</f>
        <v>#N/A</v>
      </c>
      <c r="K181" s="17" t="e">
        <f>_xlfn.XLOOKUP($A181,[8]hydro_power_generation_total!$A$2:$A$119,[8]hydro_power_generation_total!$BA$2:$BA$119 )</f>
        <v>#N/A</v>
      </c>
      <c r="L181" s="17" t="e">
        <f>_xlfn.XLOOKUP($A181,[9]ag_lnd_prcp_mm!$A$2:$A$182, [9]ag_lnd_prcp_mm!$BL$2:$BL$182)</f>
        <v>#N/A</v>
      </c>
      <c r="M181" s="17" t="str">
        <f>_xlfn.XLOOKUP($A181,[10]co2_pcap_cons!$A$2:$A$193, [10]co2_pcap_cons!$HQ$2:$HQ$193)</f>
        <v>1.091</v>
      </c>
      <c r="N181" s="17">
        <f>_xlfn.XLOOKUP($A181,[11]primary_forest_area_ha!$A$2:$A$193, [11]primary_forest_area_ha!$AD$2:$AD$193)</f>
        <v>0</v>
      </c>
      <c r="O181" s="17" t="str">
        <f>_xlfn.XLOOKUP($A181,[12]en_mam_thrd_no!$A$2:$A$195,[12]en_mam_thrd_no!$G$2:$G$195)</f>
        <v>2</v>
      </c>
      <c r="P181" s="17" t="str">
        <f>_xlfn.XLOOKUP($A181,[13]en_fsh_thrd_no!$A$2:$A$195,[13]en_fsh_thrd_no!$G$2:$G$195)</f>
        <v>21</v>
      </c>
      <c r="Q181" s="17">
        <f>_xlfn.XLOOKUP($A181,[14]en_bir_thrd_no!$A$2:$A$195,[14]en_bir_thrd_no!$G$2:$G$195)</f>
        <v>0</v>
      </c>
      <c r="R181" s="17">
        <f>_xlfn.XLOOKUP($A181,[15]en_hpt_thrd_no!$A$2:$A$195,[15]en_hpt_thrd_no!$G$2:$G$195)</f>
        <v>0</v>
      </c>
      <c r="S181" s="17" t="str">
        <f>_xlfn.XLOOKUP($A181,[16]er_lnd_ptld_zs!$A$2:$A$194, [16]er_lnd_ptld_zs!$O$2:$O$194)</f>
        <v>20.2</v>
      </c>
      <c r="T181" s="17">
        <f>_xlfn.XLOOKUP($A181,[17]er_mrn_ptmr_zs!$A$2:$A$155,[17]er_mrn_ptmr_zs!$O$2:$O$155)</f>
        <v>0</v>
      </c>
    </row>
    <row r="182" spans="1:20" x14ac:dyDescent="0.2">
      <c r="A182" t="s">
        <v>540</v>
      </c>
      <c r="B182" t="s">
        <v>541</v>
      </c>
      <c r="C182" s="18" t="str">
        <f>_xlfn.XLOOKUP(A182,[1]Tabelle1!$A$2:$A$196,[1]Tabelle1!$C$2:$C$196)</f>
        <v>africa</v>
      </c>
      <c r="D182" t="s">
        <v>542</v>
      </c>
      <c r="E182" s="17" t="str">
        <f>_xlfn.XLOOKUP(A182,[2]lex!$A$2:$A$195, [2]lex!$HU$2:$HU$195)</f>
        <v>70.02</v>
      </c>
      <c r="F182" s="17" t="str">
        <f>_xlfn.XLOOKUP(A182,[3]gdp_pcap!$A$2:$A$194,[3]gdp_pcap!$HT$2:$HT$194 )</f>
        <v>3924.40183</v>
      </c>
      <c r="G182" s="17" t="str">
        <f>_xlfn.XLOOKUP($A182,[4]ag_lnd_totl_k2!$A$2:$A$195, [4]ag_lnd_totl_k2!$BM$2:$BM$195)</f>
        <v>885800</v>
      </c>
      <c r="H182" s="17" t="str">
        <f>_xlfn.XLOOKUP($A182,[5]industrial_water_withdrawal_per!$A$2:$A$179,[5]industrial_water_withdrawal_per!$BH$2:$BH$179 )</f>
        <v>0.48225</v>
      </c>
      <c r="I182" s="17" t="str">
        <f>_xlfn.XLOOKUP($A182,[6]agricultural_water_withdrawal_p!$A$2:$A$180,[6]agricultural_water_withdrawal_p!$BH$2:$BH$180 )</f>
        <v>89.352</v>
      </c>
      <c r="J182" s="17" t="str">
        <f>_xlfn.XLOOKUP($A182,[7]total_water_withdrawal_billion_!$A$2:$A$180, [7]total_water_withdrawal_billion_!$BK$2:$BK$180  )</f>
        <v>5.184</v>
      </c>
      <c r="K182" s="17" t="str">
        <f>_xlfn.XLOOKUP($A182,[8]hydro_power_generation_total!$A$2:$A$119,[8]hydro_power_generation_total!$BA$2:$BA$119 )</f>
        <v>221300</v>
      </c>
      <c r="L182" s="17" t="str">
        <f>_xlfn.XLOOKUP($A182,[9]ag_lnd_prcp_mm!$A$2:$A$182, [9]ag_lnd_prcp_mm!$BL$2:$BL$182)</f>
        <v>1071</v>
      </c>
      <c r="M182" s="17" t="str">
        <f>_xlfn.XLOOKUP($A182,[10]co2_pcap_cons!$A$2:$A$193, [10]co2_pcap_cons!$HQ$2:$HQ$193)</f>
        <v>0.311</v>
      </c>
      <c r="N182" s="17">
        <f>_xlfn.XLOOKUP($A182,[11]primary_forest_area_ha!$A$2:$A$193, [11]primary_forest_area_ha!$AD$2:$AD$193)</f>
        <v>0</v>
      </c>
      <c r="O182" s="17" t="str">
        <f>_xlfn.XLOOKUP($A182,[12]en_mam_thrd_no!$A$2:$A$195,[12]en_mam_thrd_no!$G$2:$G$195)</f>
        <v>45</v>
      </c>
      <c r="P182" s="17" t="str">
        <f>_xlfn.XLOOKUP($A182,[13]en_fsh_thrd_no!$A$2:$A$195,[13]en_fsh_thrd_no!$G$2:$G$195)</f>
        <v>219</v>
      </c>
      <c r="Q182" s="17" t="str">
        <f>_xlfn.XLOOKUP($A182,[14]en_bir_thrd_no!$A$2:$A$195,[14]en_bir_thrd_no!$G$2:$G$195)</f>
        <v>46</v>
      </c>
      <c r="R182" s="17" t="str">
        <f>_xlfn.XLOOKUP($A182,[15]en_hpt_thrd_no!$A$2:$A$195,[15]en_hpt_thrd_no!$G$2:$G$195)</f>
        <v>1010</v>
      </c>
      <c r="S182" s="17" t="str">
        <f>_xlfn.XLOOKUP($A182,[16]er_lnd_ptld_zs!$A$2:$A$194, [16]er_lnd_ptld_zs!$O$2:$O$194)</f>
        <v>39.9</v>
      </c>
      <c r="T182" s="17" t="str">
        <f>_xlfn.XLOOKUP($A182,[17]er_mrn_ptmr_zs!$A$2:$A$155,[17]er_mrn_ptmr_zs!$O$2:$O$155)</f>
        <v>2.3</v>
      </c>
    </row>
    <row r="183" spans="1:20" x14ac:dyDescent="0.2">
      <c r="A183" t="s">
        <v>543</v>
      </c>
      <c r="B183" t="s">
        <v>544</v>
      </c>
      <c r="C183" s="18" t="str">
        <f>_xlfn.XLOOKUP(A183,[1]Tabelle1!$A$2:$A$196,[1]Tabelle1!$C$2:$C$196)</f>
        <v>africa</v>
      </c>
      <c r="D183" t="s">
        <v>545</v>
      </c>
      <c r="E183" s="17" t="str">
        <f>_xlfn.XLOOKUP(A183,[2]lex!$A$2:$A$195, [2]lex!$HU$2:$HU$195)</f>
        <v>66.18</v>
      </c>
      <c r="F183" s="17" t="str">
        <f>_xlfn.XLOOKUP(A183,[3]gdp_pcap!$A$2:$A$194,[3]gdp_pcap!$HT$2:$HT$194 )</f>
        <v>3047.99489</v>
      </c>
      <c r="G183" s="17" t="str">
        <f>_xlfn.XLOOKUP($A183,[4]ag_lnd_totl_k2!$A$2:$A$195, [4]ag_lnd_totl_k2!$BM$2:$BM$195)</f>
        <v>200520</v>
      </c>
      <c r="H183" s="17" t="str">
        <f>_xlfn.XLOOKUP($A183,[5]industrial_water_withdrawal_per!$A$2:$A$179,[5]industrial_water_withdrawal_per!$BH$2:$BH$179 )</f>
        <v>7.8493</v>
      </c>
      <c r="I183" s="17" t="str">
        <f>_xlfn.XLOOKUP($A183,[6]agricultural_water_withdrawal_p!$A$2:$A$180,[6]agricultural_water_withdrawal_p!$BH$2:$BH$180 )</f>
        <v>40.659</v>
      </c>
      <c r="J183" s="17" t="str">
        <f>_xlfn.XLOOKUP($A183,[7]total_water_withdrawal_billion_!$A$2:$A$180, [7]total_water_withdrawal_billion_!$BK$2:$BK$180  )</f>
        <v>0.637</v>
      </c>
      <c r="K183" s="17" t="e">
        <f>_xlfn.XLOOKUP($A183,[8]hydro_power_generation_total!$A$2:$A$119,[8]hydro_power_generation_total!$BA$2:$BA$119 )</f>
        <v>#N/A</v>
      </c>
      <c r="L183" s="17" t="str">
        <f>_xlfn.XLOOKUP($A183,[9]ag_lnd_prcp_mm!$A$2:$A$182, [9]ag_lnd_prcp_mm!$BL$2:$BL$182)</f>
        <v>1180</v>
      </c>
      <c r="M183" s="17" t="str">
        <f>_xlfn.XLOOKUP($A183,[10]co2_pcap_cons!$A$2:$A$193, [10]co2_pcap_cons!$HQ$2:$HQ$193)</f>
        <v>0.183</v>
      </c>
      <c r="N183" s="17">
        <f>_xlfn.XLOOKUP($A183,[11]primary_forest_area_ha!$A$2:$A$193, [11]primary_forest_area_ha!$AD$2:$AD$193)</f>
        <v>0</v>
      </c>
      <c r="O183" s="17" t="str">
        <f>_xlfn.XLOOKUP($A183,[12]en_mam_thrd_no!$A$2:$A$195,[12]en_mam_thrd_no!$G$2:$G$195)</f>
        <v>32</v>
      </c>
      <c r="P183" s="17" t="str">
        <f>_xlfn.XLOOKUP($A183,[13]en_fsh_thrd_no!$A$2:$A$195,[13]en_fsh_thrd_no!$G$2:$G$195)</f>
        <v>62</v>
      </c>
      <c r="Q183" s="17" t="str">
        <f>_xlfn.XLOOKUP($A183,[14]en_bir_thrd_no!$A$2:$A$195,[14]en_bir_thrd_no!$G$2:$G$195)</f>
        <v>33</v>
      </c>
      <c r="R183" s="17" t="str">
        <f>_xlfn.XLOOKUP($A183,[15]en_hpt_thrd_no!$A$2:$A$195,[15]en_hpt_thrd_no!$G$2:$G$195)</f>
        <v>146</v>
      </c>
      <c r="S183" s="17" t="str">
        <f>_xlfn.XLOOKUP($A183,[16]er_lnd_ptld_zs!$A$2:$A$194, [16]er_lnd_ptld_zs!$O$2:$O$194)</f>
        <v>16.1</v>
      </c>
      <c r="T183" s="17" t="e">
        <f>_xlfn.XLOOKUP($A183,[17]er_mrn_ptmr_zs!$A$2:$A$155,[17]er_mrn_ptmr_zs!$O$2:$O$155)</f>
        <v>#N/A</v>
      </c>
    </row>
    <row r="184" spans="1:20" x14ac:dyDescent="0.2">
      <c r="A184" t="s">
        <v>546</v>
      </c>
      <c r="B184" t="s">
        <v>547</v>
      </c>
      <c r="C184" s="18" t="str">
        <f>_xlfn.XLOOKUP(A184,[1]Tabelle1!$A$2:$A$196,[1]Tabelle1!$C$2:$C$196)</f>
        <v>europe</v>
      </c>
      <c r="D184" t="s">
        <v>548</v>
      </c>
      <c r="E184" s="17" t="str">
        <f>_xlfn.XLOOKUP(A184,[2]lex!$A$2:$A$195, [2]lex!$HU$2:$HU$195)</f>
        <v>74.08</v>
      </c>
      <c r="F184" s="17" t="str">
        <f>_xlfn.XLOOKUP(A184,[3]gdp_pcap!$A$2:$A$194,[3]gdp_pcap!$HT$2:$HT$194 )</f>
        <v>15014.25715</v>
      </c>
      <c r="G184" s="17" t="str">
        <f>_xlfn.XLOOKUP($A184,[4]ag_lnd_totl_k2!$A$2:$A$195, [4]ag_lnd_totl_k2!$BM$2:$BM$195)</f>
        <v>579400</v>
      </c>
      <c r="H184" s="17" t="str">
        <f>_xlfn.XLOOKUP($A184,[5]industrial_water_withdrawal_per!$A$2:$A$179,[5]industrial_water_withdrawal_per!$BH$2:$BH$179 )</f>
        <v>44.844</v>
      </c>
      <c r="I184" s="17" t="str">
        <f>_xlfn.XLOOKUP($A184,[6]agricultural_water_withdrawal_p!$A$2:$A$180,[6]agricultural_water_withdrawal_p!$BH$2:$BH$180 )</f>
        <v>21.132</v>
      </c>
      <c r="J184" s="17" t="str">
        <f>_xlfn.XLOOKUP($A184,[7]total_water_withdrawal_billion_!$A$2:$A$180, [7]total_water_withdrawal_billion_!$BK$2:$BK$180  )</f>
        <v>4.8789</v>
      </c>
      <c r="K184" s="17" t="str">
        <f>_xlfn.XLOOKUP($A184,[8]hydro_power_generation_total!$A$2:$A$119,[8]hydro_power_generation_total!$BA$2:$BA$119 )</f>
        <v>1131000</v>
      </c>
      <c r="L184" s="17" t="str">
        <f>_xlfn.XLOOKUP($A184,[9]ag_lnd_prcp_mm!$A$2:$A$182, [9]ag_lnd_prcp_mm!$BL$2:$BL$182)</f>
        <v>565</v>
      </c>
      <c r="M184" s="17" t="str">
        <f>_xlfn.XLOOKUP($A184,[10]co2_pcap_cons!$A$2:$A$193, [10]co2_pcap_cons!$HQ$2:$HQ$193)</f>
        <v>4.347</v>
      </c>
      <c r="N184" s="17" t="str">
        <f>_xlfn.XLOOKUP($A184,[11]primary_forest_area_ha!$A$2:$A$193, [11]primary_forest_area_ha!$AD$2:$AD$193)</f>
        <v>59000</v>
      </c>
      <c r="O184" s="17" t="str">
        <f>_xlfn.XLOOKUP($A184,[12]en_mam_thrd_no!$A$2:$A$195,[12]en_mam_thrd_no!$G$2:$G$195)</f>
        <v>13</v>
      </c>
      <c r="P184" s="17" t="str">
        <f>_xlfn.XLOOKUP($A184,[13]en_fsh_thrd_no!$A$2:$A$195,[13]en_fsh_thrd_no!$G$2:$G$195)</f>
        <v>25</v>
      </c>
      <c r="Q184" s="17" t="str">
        <f>_xlfn.XLOOKUP($A184,[14]en_bir_thrd_no!$A$2:$A$195,[14]en_bir_thrd_no!$G$2:$G$195)</f>
        <v>18</v>
      </c>
      <c r="R184" s="17" t="str">
        <f>_xlfn.XLOOKUP($A184,[15]en_hpt_thrd_no!$A$2:$A$195,[15]en_hpt_thrd_no!$G$2:$G$195)</f>
        <v>29</v>
      </c>
      <c r="S184" s="17" t="str">
        <f>_xlfn.XLOOKUP($A184,[16]er_lnd_ptld_zs!$A$2:$A$194, [16]er_lnd_ptld_zs!$O$2:$O$194)</f>
        <v>17.1</v>
      </c>
      <c r="T184" s="17" t="str">
        <f>_xlfn.XLOOKUP($A184,[17]er_mrn_ptmr_zs!$A$2:$A$155,[17]er_mrn_ptmr_zs!$O$2:$O$155)</f>
        <v>21.6</v>
      </c>
    </row>
    <row r="185" spans="1:20" x14ac:dyDescent="0.2">
      <c r="A185" t="s">
        <v>549</v>
      </c>
      <c r="B185" t="s">
        <v>550</v>
      </c>
      <c r="C185" s="18" t="str">
        <f>_xlfn.XLOOKUP(A185,[1]Tabelle1!$A$2:$A$196,[1]Tabelle1!$C$2:$C$196)</f>
        <v>americas</v>
      </c>
      <c r="D185" t="s">
        <v>551</v>
      </c>
      <c r="E185" s="17" t="str">
        <f>_xlfn.XLOOKUP(A185,[2]lex!$A$2:$A$195, [2]lex!$HU$2:$HU$195)</f>
        <v>77.9</v>
      </c>
      <c r="F185" s="17" t="str">
        <f>_xlfn.XLOOKUP(A185,[3]gdp_pcap!$A$2:$A$194,[3]gdp_pcap!$HT$2:$HT$194 )</f>
        <v>33757.56245</v>
      </c>
      <c r="G185" s="17" t="str">
        <f>_xlfn.XLOOKUP($A185,[4]ag_lnd_totl_k2!$A$2:$A$195, [4]ag_lnd_totl_k2!$BM$2:$BM$195)</f>
        <v>175020</v>
      </c>
      <c r="H185" s="17" t="str">
        <f>_xlfn.XLOOKUP($A185,[5]industrial_water_withdrawal_per!$A$2:$A$179,[5]industrial_water_withdrawal_per!$BH$2:$BH$179 )</f>
        <v>13.393</v>
      </c>
      <c r="I185" s="17" t="str">
        <f>_xlfn.XLOOKUP($A185,[6]agricultural_water_withdrawal_p!$A$2:$A$180,[6]agricultural_water_withdrawal_p!$BH$2:$BH$180 )</f>
        <v>77.19</v>
      </c>
      <c r="J185" s="17" t="str">
        <f>_xlfn.XLOOKUP($A185,[7]total_water_withdrawal_billion_!$A$2:$A$180, [7]total_water_withdrawal_billion_!$BK$2:$BK$180  )</f>
        <v>4.5075</v>
      </c>
      <c r="K185" s="17" t="str">
        <f>_xlfn.XLOOKUP($A185,[8]hydro_power_generation_total!$A$2:$A$119,[8]hydro_power_generation_total!$BA$2:$BA$119 )</f>
        <v>745100</v>
      </c>
      <c r="L185" s="17" t="str">
        <f>_xlfn.XLOOKUP($A185,[9]ag_lnd_prcp_mm!$A$2:$A$182, [9]ag_lnd_prcp_mm!$BL$2:$BL$182)</f>
        <v>1300</v>
      </c>
      <c r="M185" s="17" t="str">
        <f>_xlfn.XLOOKUP($A185,[10]co2_pcap_cons!$A$2:$A$193, [10]co2_pcap_cons!$HQ$2:$HQ$193)</f>
        <v>3.206</v>
      </c>
      <c r="N185" s="17" t="str">
        <f>_xlfn.XLOOKUP($A185,[11]primary_forest_area_ha!$A$2:$A$193, [11]primary_forest_area_ha!$AD$2:$AD$193)</f>
        <v>313000</v>
      </c>
      <c r="O185" s="17" t="str">
        <f>_xlfn.XLOOKUP($A185,[12]en_mam_thrd_no!$A$2:$A$195,[12]en_mam_thrd_no!$G$2:$G$195)</f>
        <v>9</v>
      </c>
      <c r="P185" s="17" t="str">
        <f>_xlfn.XLOOKUP($A185,[13]en_fsh_thrd_no!$A$2:$A$195,[13]en_fsh_thrd_no!$G$2:$G$195)</f>
        <v>71</v>
      </c>
      <c r="Q185" s="17" t="str">
        <f>_xlfn.XLOOKUP($A185,[14]en_bir_thrd_no!$A$2:$A$195,[14]en_bir_thrd_no!$G$2:$G$195)</f>
        <v>22</v>
      </c>
      <c r="R185" s="17" t="str">
        <f>_xlfn.XLOOKUP($A185,[15]en_hpt_thrd_no!$A$2:$A$195,[15]en_hpt_thrd_no!$G$2:$G$195)</f>
        <v>22</v>
      </c>
      <c r="S185" s="17" t="str">
        <f>_xlfn.XLOOKUP($A185,[16]er_lnd_ptld_zs!$A$2:$A$194, [16]er_lnd_ptld_zs!$O$2:$O$194)</f>
        <v>3.1</v>
      </c>
      <c r="T185" s="17" t="str">
        <f>_xlfn.XLOOKUP($A185,[17]er_mrn_ptmr_zs!$A$2:$A$155,[17]er_mrn_ptmr_zs!$O$2:$O$155)</f>
        <v>1.5</v>
      </c>
    </row>
    <row r="186" spans="1:20" x14ac:dyDescent="0.2">
      <c r="A186" t="s">
        <v>552</v>
      </c>
      <c r="B186" t="s">
        <v>553</v>
      </c>
      <c r="C186" s="18" t="str">
        <f>_xlfn.XLOOKUP(A186,[1]Tabelle1!$A$2:$A$196,[1]Tabelle1!$C$2:$C$196)</f>
        <v>americas</v>
      </c>
      <c r="D186" t="s">
        <v>554</v>
      </c>
      <c r="E186" s="17" t="str">
        <f>_xlfn.XLOOKUP(A186,[2]lex!$A$2:$A$195, [2]lex!$HU$2:$HU$195)</f>
        <v>78.99</v>
      </c>
      <c r="F186" s="17" t="str">
        <f>_xlfn.XLOOKUP(A186,[3]gdp_pcap!$A$2:$A$194,[3]gdp_pcap!$HT$2:$HT$194 )</f>
        <v>78388.58461</v>
      </c>
      <c r="G186" s="17" t="str">
        <f>_xlfn.XLOOKUP($A186,[4]ag_lnd_totl_k2!$A$2:$A$195, [4]ag_lnd_totl_k2!$BM$2:$BM$195)</f>
        <v>9147420</v>
      </c>
      <c r="H186" s="17" t="str">
        <f>_xlfn.XLOOKUP($A186,[5]industrial_water_withdrawal_per!$A$2:$A$179,[5]industrial_water_withdrawal_per!$BH$2:$BH$179 )</f>
        <v>47.199</v>
      </c>
      <c r="I186" s="17" t="str">
        <f>_xlfn.XLOOKUP($A186,[6]agricultural_water_withdrawal_p!$A$2:$A$180,[6]agricultural_water_withdrawal_p!$BH$2:$BH$180 )</f>
        <v>39.659</v>
      </c>
      <c r="J186" s="17" t="str">
        <f>_xlfn.XLOOKUP($A186,[7]total_water_withdrawal_billion_!$A$2:$A$180, [7]total_water_withdrawal_billion_!$BK$2:$BK$180  )</f>
        <v>444.29</v>
      </c>
      <c r="K186" s="17" t="str">
        <f>_xlfn.XLOOKUP($A186,[8]hydro_power_generation_total!$A$2:$A$119,[8]hydro_power_generation_total!$BA$2:$BA$119 )</f>
        <v>22550000</v>
      </c>
      <c r="L186" s="17" t="str">
        <f>_xlfn.XLOOKUP($A186,[9]ag_lnd_prcp_mm!$A$2:$A$182, [9]ag_lnd_prcp_mm!$BL$2:$BL$182)</f>
        <v>715</v>
      </c>
      <c r="M186" s="17" t="str">
        <f>_xlfn.XLOOKUP($A186,[10]co2_pcap_cons!$A$2:$A$193, [10]co2_pcap_cons!$HQ$2:$HQ$193)</f>
        <v>16.447</v>
      </c>
      <c r="N186" s="17" t="str">
        <f>_xlfn.XLOOKUP($A186,[11]primary_forest_area_ha!$A$2:$A$193, [11]primary_forest_area_ha!$AD$2:$AD$193)</f>
        <v>75300000</v>
      </c>
      <c r="O186" s="17" t="str">
        <f>_xlfn.XLOOKUP($A186,[12]en_mam_thrd_no!$A$2:$A$195,[12]en_mam_thrd_no!$G$2:$G$195)</f>
        <v>43</v>
      </c>
      <c r="P186" s="17" t="str">
        <f>_xlfn.XLOOKUP($A186,[13]en_fsh_thrd_no!$A$2:$A$195,[13]en_fsh_thrd_no!$G$2:$G$195)</f>
        <v>283</v>
      </c>
      <c r="Q186" s="17" t="str">
        <f>_xlfn.XLOOKUP($A186,[14]en_bir_thrd_no!$A$2:$A$195,[14]en_bir_thrd_no!$G$2:$G$195)</f>
        <v>87</v>
      </c>
      <c r="R186" s="17" t="str">
        <f>_xlfn.XLOOKUP($A186,[15]en_hpt_thrd_no!$A$2:$A$195,[15]en_hpt_thrd_no!$G$2:$G$195)</f>
        <v>688</v>
      </c>
      <c r="S186" s="17" t="str">
        <f>_xlfn.XLOOKUP($A186,[16]er_lnd_ptld_zs!$A$2:$A$194, [16]er_lnd_ptld_zs!$O$2:$O$194)</f>
        <v>12.9</v>
      </c>
      <c r="T186" s="17" t="str">
        <f>_xlfn.XLOOKUP($A186,[17]er_mrn_ptmr_zs!$A$2:$A$155,[17]er_mrn_ptmr_zs!$O$2:$O$155)</f>
        <v>19</v>
      </c>
    </row>
    <row r="187" spans="1:20" x14ac:dyDescent="0.2">
      <c r="A187" t="s">
        <v>555</v>
      </c>
      <c r="B187" t="s">
        <v>556</v>
      </c>
      <c r="C187" s="18" t="str">
        <f>_xlfn.XLOOKUP(A187,[1]Tabelle1!$A$2:$A$196,[1]Tabelle1!$C$2:$C$196)</f>
        <v>asia</v>
      </c>
      <c r="D187" t="s">
        <v>557</v>
      </c>
      <c r="E187" s="17" t="str">
        <f>_xlfn.XLOOKUP(A187,[2]lex!$A$2:$A$195, [2]lex!$HU$2:$HU$195)</f>
        <v>72.9</v>
      </c>
      <c r="F187" s="17" t="str">
        <f>_xlfn.XLOOKUP(A187,[3]gdp_pcap!$A$2:$A$194,[3]gdp_pcap!$HT$2:$HT$194 )</f>
        <v>11127.00974</v>
      </c>
      <c r="G187" s="17" t="str">
        <f>_xlfn.XLOOKUP($A187,[4]ag_lnd_totl_k2!$A$2:$A$195, [4]ag_lnd_totl_k2!$BM$2:$BM$195)</f>
        <v>440650</v>
      </c>
      <c r="H187" s="17" t="str">
        <f>_xlfn.XLOOKUP($A187,[5]industrial_water_withdrawal_per!$A$2:$A$179,[5]industrial_water_withdrawal_per!$BH$2:$BH$179 )</f>
        <v>2.6966</v>
      </c>
      <c r="I187" s="17" t="str">
        <f>_xlfn.XLOOKUP($A187,[6]agricultural_water_withdrawal_p!$A$2:$A$180,[6]agricultural_water_withdrawal_p!$BH$2:$BH$180 )</f>
        <v>92.135</v>
      </c>
      <c r="J187" s="17" t="str">
        <f>_xlfn.XLOOKUP($A187,[7]total_water_withdrawal_billion_!$A$2:$A$180, [7]total_water_withdrawal_billion_!$BK$2:$BK$180  )</f>
        <v>44.5</v>
      </c>
      <c r="K187" s="17" t="str">
        <f>_xlfn.XLOOKUP($A187,[8]hydro_power_generation_total!$A$2:$A$119,[8]hydro_power_generation_total!$BA$2:$BA$119 )</f>
        <v>932100</v>
      </c>
      <c r="L187" s="17" t="str">
        <f>_xlfn.XLOOKUP($A187,[9]ag_lnd_prcp_mm!$A$2:$A$182, [9]ag_lnd_prcp_mm!$BL$2:$BL$182)</f>
        <v>206</v>
      </c>
      <c r="M187" s="17" t="str">
        <f>_xlfn.XLOOKUP($A187,[10]co2_pcap_cons!$A$2:$A$193, [10]co2_pcap_cons!$HQ$2:$HQ$193)</f>
        <v>2.804</v>
      </c>
      <c r="N187" s="17" t="str">
        <f>_xlfn.XLOOKUP($A187,[11]primary_forest_area_ha!$A$2:$A$193, [11]primary_forest_area_ha!$AD$2:$AD$193)</f>
        <v>73000</v>
      </c>
      <c r="O187" s="17" t="str">
        <f>_xlfn.XLOOKUP($A187,[12]en_mam_thrd_no!$A$2:$A$195,[12]en_mam_thrd_no!$G$2:$G$195)</f>
        <v>10</v>
      </c>
      <c r="P187" s="17" t="str">
        <f>_xlfn.XLOOKUP($A187,[13]en_fsh_thrd_no!$A$2:$A$195,[13]en_fsh_thrd_no!$G$2:$G$195)</f>
        <v>9</v>
      </c>
      <c r="Q187" s="17" t="str">
        <f>_xlfn.XLOOKUP($A187,[14]en_bir_thrd_no!$A$2:$A$195,[14]en_bir_thrd_no!$G$2:$G$195)</f>
        <v>19</v>
      </c>
      <c r="R187" s="17" t="str">
        <f>_xlfn.XLOOKUP($A187,[15]en_hpt_thrd_no!$A$2:$A$195,[15]en_hpt_thrd_no!$G$2:$G$195)</f>
        <v>16</v>
      </c>
      <c r="S187" s="17" t="str">
        <f>_xlfn.XLOOKUP($A187,[16]er_lnd_ptld_zs!$A$2:$A$194, [16]er_lnd_ptld_zs!$O$2:$O$194)</f>
        <v>14.1</v>
      </c>
      <c r="T187" s="17" t="e">
        <f>_xlfn.XLOOKUP($A187,[17]er_mrn_ptmr_zs!$A$2:$A$155,[17]er_mrn_ptmr_zs!$O$2:$O$155)</f>
        <v>#N/A</v>
      </c>
    </row>
    <row r="188" spans="1:20" x14ac:dyDescent="0.2">
      <c r="A188" t="s">
        <v>558</v>
      </c>
      <c r="B188" t="s">
        <v>559</v>
      </c>
      <c r="C188" s="18" t="str">
        <f>_xlfn.XLOOKUP(A188,[1]Tabelle1!$A$2:$A$196,[1]Tabelle1!$C$2:$C$196)</f>
        <v>americas</v>
      </c>
      <c r="D188" t="s">
        <v>560</v>
      </c>
      <c r="E188" s="17" t="str">
        <f>_xlfn.XLOOKUP(A188,[2]lex!$A$2:$A$195, [2]lex!$HU$2:$HU$195)</f>
        <v>75.63</v>
      </c>
      <c r="F188" s="17" t="str">
        <f>_xlfn.XLOOKUP(A188,[3]gdp_pcap!$A$2:$A$194,[3]gdp_pcap!$HT$2:$HT$194 )</f>
        <v>20092.3654</v>
      </c>
      <c r="G188" s="17" t="str">
        <f>_xlfn.XLOOKUP($A188,[4]ag_lnd_totl_k2!$A$2:$A$195, [4]ag_lnd_totl_k2!$BM$2:$BM$195)</f>
        <v>390</v>
      </c>
      <c r="H188" s="17" t="str">
        <f>_xlfn.XLOOKUP($A188,[5]industrial_water_withdrawal_per!$A$2:$A$179,[5]industrial_water_withdrawal_per!$BH$2:$BH$179 )</f>
        <v>0.02352</v>
      </c>
      <c r="I188" s="17" t="e">
        <f>_xlfn.XLOOKUP($A188,[6]agricultural_water_withdrawal_p!$A$2:$A$180,[6]agricultural_water_withdrawal_p!$BH$2:$BH$180 )</f>
        <v>#REF!</v>
      </c>
      <c r="J188" s="17" t="str">
        <f>_xlfn.XLOOKUP($A188,[7]total_water_withdrawal_billion_!$A$2:$A$180, [7]total_water_withdrawal_billion_!$BK$2:$BK$180  )</f>
        <v>0.0085</v>
      </c>
      <c r="K188" s="17" t="e">
        <f>_xlfn.XLOOKUP($A188,[8]hydro_power_generation_total!$A$2:$A$119,[8]hydro_power_generation_total!$BA$2:$BA$119 )</f>
        <v>#N/A</v>
      </c>
      <c r="L188" s="17" t="str">
        <f>_xlfn.XLOOKUP($A188,[9]ag_lnd_prcp_mm!$A$2:$A$182, [9]ag_lnd_prcp_mm!$BL$2:$BL$182)</f>
        <v>1583</v>
      </c>
      <c r="M188" s="17" t="str">
        <f>_xlfn.XLOOKUP($A188,[10]co2_pcap_cons!$A$2:$A$193, [10]co2_pcap_cons!$HQ$2:$HQ$193)</f>
        <v>2.048</v>
      </c>
      <c r="N188" s="17">
        <f>_xlfn.XLOOKUP($A188,[11]primary_forest_area_ha!$A$2:$A$193, [11]primary_forest_area_ha!$AD$2:$AD$193)</f>
        <v>0</v>
      </c>
      <c r="O188" s="17" t="str">
        <f>_xlfn.XLOOKUP($A188,[12]en_mam_thrd_no!$A$2:$A$195,[12]en_mam_thrd_no!$G$2:$G$195)</f>
        <v>2</v>
      </c>
      <c r="P188" s="17" t="str">
        <f>_xlfn.XLOOKUP($A188,[13]en_fsh_thrd_no!$A$2:$A$195,[13]en_fsh_thrd_no!$G$2:$G$195)</f>
        <v>48</v>
      </c>
      <c r="Q188" s="17" t="str">
        <f>_xlfn.XLOOKUP($A188,[14]en_bir_thrd_no!$A$2:$A$195,[14]en_bir_thrd_no!$G$2:$G$195)</f>
        <v>4</v>
      </c>
      <c r="R188" s="17" t="str">
        <f>_xlfn.XLOOKUP($A188,[15]en_hpt_thrd_no!$A$2:$A$195,[15]en_hpt_thrd_no!$G$2:$G$195)</f>
        <v>8</v>
      </c>
      <c r="S188" s="17" t="str">
        <f>_xlfn.XLOOKUP($A188,[16]er_lnd_ptld_zs!$A$2:$A$194, [16]er_lnd_ptld_zs!$O$2:$O$194)</f>
        <v>22.6</v>
      </c>
      <c r="T188" s="17" t="str">
        <f>_xlfn.XLOOKUP($A188,[17]er_mrn_ptmr_zs!$A$2:$A$155,[17]er_mrn_ptmr_zs!$O$2:$O$155)</f>
        <v>0.2</v>
      </c>
    </row>
    <row r="189" spans="1:20" x14ac:dyDescent="0.2">
      <c r="A189" t="s">
        <v>561</v>
      </c>
      <c r="B189" t="s">
        <v>562</v>
      </c>
      <c r="C189" s="18" t="str">
        <f>_xlfn.XLOOKUP(A189,[1]Tabelle1!$A$2:$A$196,[1]Tabelle1!$C$2:$C$196)</f>
        <v>americas</v>
      </c>
      <c r="D189" t="s">
        <v>563</v>
      </c>
      <c r="E189" s="17" t="str">
        <f>_xlfn.XLOOKUP(A189,[2]lex!$A$2:$A$195, [2]lex!$HU$2:$HU$195)</f>
        <v>72.3</v>
      </c>
      <c r="F189" s="17" t="str">
        <f>_xlfn.XLOOKUP(A189,[3]gdp_pcap!$A$2:$A$194,[3]gdp_pcap!$HT$2:$HT$194 )</f>
        <v>8899.072</v>
      </c>
      <c r="G189" s="17" t="str">
        <f>_xlfn.XLOOKUP($A189,[4]ag_lnd_totl_k2!$A$2:$A$195, [4]ag_lnd_totl_k2!$BM$2:$BM$195)</f>
        <v>882050</v>
      </c>
      <c r="H189" s="17" t="str">
        <f>_xlfn.XLOOKUP($A189,[5]industrial_water_withdrawal_per!$A$2:$A$179,[5]industrial_water_withdrawal_per!$BH$2:$BH$179 )</f>
        <v>3.5061</v>
      </c>
      <c r="I189" s="17" t="str">
        <f>_xlfn.XLOOKUP($A189,[6]agricultural_water_withdrawal_p!$A$2:$A$180,[6]agricultural_water_withdrawal_p!$BH$2:$BH$180 )</f>
        <v>73.852</v>
      </c>
      <c r="J189" s="17" t="str">
        <f>_xlfn.XLOOKUP($A189,[7]total_water_withdrawal_billion_!$A$2:$A$180, [7]total_water_withdrawal_billion_!$BK$2:$BK$180  )</f>
        <v>22.626</v>
      </c>
      <c r="K189" s="17" t="str">
        <f>_xlfn.XLOOKUP($A189,[8]hydro_power_generation_total!$A$2:$A$119,[8]hydro_power_generation_total!$BA$2:$BA$119 )</f>
        <v>6602000</v>
      </c>
      <c r="L189" s="17" t="str">
        <f>_xlfn.XLOOKUP($A189,[9]ag_lnd_prcp_mm!$A$2:$A$182, [9]ag_lnd_prcp_mm!$BL$2:$BL$182)</f>
        <v>2044</v>
      </c>
      <c r="M189" s="17" t="str">
        <f>_xlfn.XLOOKUP($A189,[10]co2_pcap_cons!$A$2:$A$193, [10]co2_pcap_cons!$HQ$2:$HQ$193)</f>
        <v>0.673</v>
      </c>
      <c r="N189" s="17" t="str">
        <f>_xlfn.XLOOKUP($A189,[11]primary_forest_area_ha!$A$2:$A$193, [11]primary_forest_area_ha!$AD$2:$AD$193)</f>
        <v>45746000</v>
      </c>
      <c r="O189" s="17" t="str">
        <f>_xlfn.XLOOKUP($A189,[12]en_mam_thrd_no!$A$2:$A$195,[12]en_mam_thrd_no!$G$2:$G$195)</f>
        <v>37</v>
      </c>
      <c r="P189" s="17" t="str">
        <f>_xlfn.XLOOKUP($A189,[13]en_fsh_thrd_no!$A$2:$A$195,[13]en_fsh_thrd_no!$G$2:$G$195)</f>
        <v>105</v>
      </c>
      <c r="Q189" s="17" t="str">
        <f>_xlfn.XLOOKUP($A189,[14]en_bir_thrd_no!$A$2:$A$195,[14]en_bir_thrd_no!$G$2:$G$195)</f>
        <v>43</v>
      </c>
      <c r="R189" s="17" t="str">
        <f>_xlfn.XLOOKUP($A189,[15]en_hpt_thrd_no!$A$2:$A$195,[15]en_hpt_thrd_no!$G$2:$G$195)</f>
        <v>463</v>
      </c>
      <c r="S189" s="17" t="str">
        <f>_xlfn.XLOOKUP($A189,[16]er_lnd_ptld_zs!$A$2:$A$194, [16]er_lnd_ptld_zs!$O$2:$O$194)</f>
        <v>56.8</v>
      </c>
      <c r="T189" s="17" t="str">
        <f>_xlfn.XLOOKUP($A189,[17]er_mrn_ptmr_zs!$A$2:$A$155,[17]er_mrn_ptmr_zs!$O$2:$O$155)</f>
        <v>4.4</v>
      </c>
    </row>
    <row r="190" spans="1:20" x14ac:dyDescent="0.2">
      <c r="A190" t="s">
        <v>564</v>
      </c>
      <c r="B190" t="s">
        <v>565</v>
      </c>
      <c r="C190" s="18" t="str">
        <f>_xlfn.XLOOKUP(A190,[1]Tabelle1!$A$2:$A$196,[1]Tabelle1!$C$2:$C$196)</f>
        <v>asia</v>
      </c>
      <c r="D190" t="s">
        <v>566</v>
      </c>
      <c r="E190" s="17" t="str">
        <f>_xlfn.XLOOKUP(A190,[2]lex!$A$2:$A$195, [2]lex!$HU$2:$HU$195)</f>
        <v>76.51</v>
      </c>
      <c r="F190" s="17" t="str">
        <f>_xlfn.XLOOKUP(A190,[3]gdp_pcap!$A$2:$A$194,[3]gdp_pcap!$HT$2:$HT$194 )</f>
        <v>15429.33526</v>
      </c>
      <c r="G190" s="17" t="str">
        <f>_xlfn.XLOOKUP($A190,[4]ag_lnd_totl_k2!$A$2:$A$195, [4]ag_lnd_totl_k2!$BM$2:$BM$195)</f>
        <v>313429</v>
      </c>
      <c r="H190" s="17" t="str">
        <f>_xlfn.XLOOKUP($A190,[5]industrial_water_withdrawal_per!$A$2:$A$179,[5]industrial_water_withdrawal_per!$BH$2:$BH$179 )</f>
        <v>3.7474</v>
      </c>
      <c r="I190" s="17" t="str">
        <f>_xlfn.XLOOKUP($A190,[6]agricultural_water_withdrawal_p!$A$2:$A$180,[6]agricultural_water_withdrawal_p!$BH$2:$BH$180 )</f>
        <v>94.782</v>
      </c>
      <c r="J190" s="17" t="str">
        <f>_xlfn.XLOOKUP($A190,[7]total_water_withdrawal_billion_!$A$2:$A$180, [7]total_water_withdrawal_billion_!$BK$2:$BK$180  )</f>
        <v>82.03</v>
      </c>
      <c r="K190" s="17" t="str">
        <f>_xlfn.XLOOKUP($A190,[8]hydro_power_generation_total!$A$2:$A$119,[8]hydro_power_generation_total!$BA$2:$BA$119 )</f>
        <v>2369000</v>
      </c>
      <c r="L190" s="17" t="str">
        <f>_xlfn.XLOOKUP($A190,[9]ag_lnd_prcp_mm!$A$2:$A$182, [9]ag_lnd_prcp_mm!$BL$2:$BL$182)</f>
        <v>1821</v>
      </c>
      <c r="M190" s="17" t="str">
        <f>_xlfn.XLOOKUP($A190,[10]co2_pcap_cons!$A$2:$A$193, [10]co2_pcap_cons!$HQ$2:$HQ$193)</f>
        <v>2.168</v>
      </c>
      <c r="N190" s="17" t="str">
        <f>_xlfn.XLOOKUP($A190,[11]primary_forest_area_ha!$A$2:$A$193, [11]primary_forest_area_ha!$AD$2:$AD$193)</f>
        <v>83000</v>
      </c>
      <c r="O190" s="17" t="str">
        <f>_xlfn.XLOOKUP($A190,[12]en_mam_thrd_no!$A$2:$A$195,[12]en_mam_thrd_no!$G$2:$G$195)</f>
        <v>63</v>
      </c>
      <c r="P190" s="17" t="str">
        <f>_xlfn.XLOOKUP($A190,[13]en_fsh_thrd_no!$A$2:$A$195,[13]en_fsh_thrd_no!$G$2:$G$195)</f>
        <v>141</v>
      </c>
      <c r="Q190" s="17" t="str">
        <f>_xlfn.XLOOKUP($A190,[14]en_bir_thrd_no!$A$2:$A$195,[14]en_bir_thrd_no!$G$2:$G$195)</f>
        <v>51</v>
      </c>
      <c r="R190" s="17" t="str">
        <f>_xlfn.XLOOKUP($A190,[15]en_hpt_thrd_no!$A$2:$A$195,[15]en_hpt_thrd_no!$G$2:$G$195)</f>
        <v>308</v>
      </c>
      <c r="S190" s="17" t="str">
        <f>_xlfn.XLOOKUP($A190,[16]er_lnd_ptld_zs!$A$2:$A$194, [16]er_lnd_ptld_zs!$O$2:$O$194)</f>
        <v>7.6</v>
      </c>
      <c r="T190" s="17" t="str">
        <f>_xlfn.XLOOKUP($A190,[17]er_mrn_ptmr_zs!$A$2:$A$155,[17]er_mrn_ptmr_zs!$O$2:$O$155)</f>
        <v>0.5</v>
      </c>
    </row>
    <row r="191" spans="1:20" x14ac:dyDescent="0.2">
      <c r="A191" t="s">
        <v>567</v>
      </c>
      <c r="B191" t="s">
        <v>568</v>
      </c>
      <c r="C191" s="18" t="str">
        <f>_xlfn.XLOOKUP(A191,[1]Tabelle1!$A$2:$A$196,[1]Tabelle1!$C$2:$C$196)</f>
        <v>asia</v>
      </c>
      <c r="D191" t="s">
        <v>569</v>
      </c>
      <c r="E191" s="17" t="str">
        <f>_xlfn.XLOOKUP(A191,[2]lex!$A$2:$A$195, [2]lex!$HU$2:$HU$195)</f>
        <v>70.79</v>
      </c>
      <c r="F191" s="17" t="str">
        <f>_xlfn.XLOOKUP(A191,[3]gdp_pcap!$A$2:$A$194,[3]gdp_pcap!$HT$2:$HT$194 )</f>
        <v>3188.80002</v>
      </c>
      <c r="G191" s="17" t="str">
        <f>_xlfn.XLOOKUP($A191,[4]ag_lnd_totl_k2!$A$2:$A$195, [4]ag_lnd_totl_k2!$BM$2:$BM$195)</f>
        <v>12190</v>
      </c>
      <c r="H191" s="17" t="e">
        <f>_xlfn.XLOOKUP($A191,[5]industrial_water_withdrawal_per!$A$2:$A$179,[5]industrial_water_withdrawal_per!$BH$2:$BH$179 )</f>
        <v>#N/A</v>
      </c>
      <c r="I191" s="17" t="e">
        <f>_xlfn.XLOOKUP($A191,[6]agricultural_water_withdrawal_p!$A$2:$A$180,[6]agricultural_water_withdrawal_p!$BH$2:$BH$180 )</f>
        <v>#N/A</v>
      </c>
      <c r="J191" s="17" t="e">
        <f>_xlfn.XLOOKUP($A191,[7]total_water_withdrawal_billion_!$A$2:$A$180, [7]total_water_withdrawal_billion_!$BK$2:$BK$180  )</f>
        <v>#N/A</v>
      </c>
      <c r="K191" s="17" t="e">
        <f>_xlfn.XLOOKUP($A191,[8]hydro_power_generation_total!$A$2:$A$119,[8]hydro_power_generation_total!$BA$2:$BA$119 )</f>
        <v>#N/A</v>
      </c>
      <c r="L191" s="17" t="str">
        <f>_xlfn.XLOOKUP($A191,[9]ag_lnd_prcp_mm!$A$2:$A$182, [9]ag_lnd_prcp_mm!$BL$2:$BL$182)</f>
        <v>2000</v>
      </c>
      <c r="M191" s="17" t="str">
        <f>_xlfn.XLOOKUP($A191,[10]co2_pcap_cons!$A$2:$A$193, [10]co2_pcap_cons!$HQ$2:$HQ$193)</f>
        <v>0.572</v>
      </c>
      <c r="N191" s="17">
        <f>_xlfn.XLOOKUP($A191,[11]primary_forest_area_ha!$A$2:$A$193, [11]primary_forest_area_ha!$AD$2:$AD$193)</f>
        <v>0</v>
      </c>
      <c r="O191" s="17" t="str">
        <f>_xlfn.XLOOKUP($A191,[12]en_mam_thrd_no!$A$2:$A$195,[12]en_mam_thrd_no!$G$2:$G$195)</f>
        <v>8</v>
      </c>
      <c r="P191" s="17" t="str">
        <f>_xlfn.XLOOKUP($A191,[13]en_fsh_thrd_no!$A$2:$A$195,[13]en_fsh_thrd_no!$G$2:$G$195)</f>
        <v>30</v>
      </c>
      <c r="Q191" s="17" t="str">
        <f>_xlfn.XLOOKUP($A191,[14]en_bir_thrd_no!$A$2:$A$195,[14]en_bir_thrd_no!$G$2:$G$195)</f>
        <v>8</v>
      </c>
      <c r="R191" s="17" t="str">
        <f>_xlfn.XLOOKUP($A191,[15]en_hpt_thrd_no!$A$2:$A$195,[15]en_hpt_thrd_no!$G$2:$G$195)</f>
        <v>15</v>
      </c>
      <c r="S191" s="17" t="str">
        <f>_xlfn.XLOOKUP($A191,[16]er_lnd_ptld_zs!$A$2:$A$194, [16]er_lnd_ptld_zs!$O$2:$O$194)</f>
        <v>4.8</v>
      </c>
      <c r="T191" s="17">
        <f>_xlfn.XLOOKUP($A191,[17]er_mrn_ptmr_zs!$A$2:$A$155,[17]er_mrn_ptmr_zs!$O$2:$O$155)</f>
        <v>0</v>
      </c>
    </row>
    <row r="192" spans="1:20" x14ac:dyDescent="0.2">
      <c r="A192" t="s">
        <v>570</v>
      </c>
      <c r="B192" t="s">
        <v>571</v>
      </c>
      <c r="C192" s="18" t="str">
        <f>_xlfn.XLOOKUP(A192,[1]Tabelle1!$A$2:$A$196,[1]Tabelle1!$C$2:$C$196)</f>
        <v>asia</v>
      </c>
      <c r="D192" t="s">
        <v>572</v>
      </c>
      <c r="E192" s="17" t="str">
        <f>_xlfn.XLOOKUP(A192,[2]lex!$A$2:$A$195, [2]lex!$HU$2:$HU$195)</f>
        <v>73.01</v>
      </c>
      <c r="F192" s="17" t="str">
        <f>_xlfn.XLOOKUP(A192,[3]gdp_pcap!$A$2:$A$194,[3]gdp_pcap!$HT$2:$HT$194 )</f>
        <v>7412.51789</v>
      </c>
      <c r="G192" s="17" t="str">
        <f>_xlfn.XLOOKUP($A192,[4]ag_lnd_totl_k2!$A$2:$A$195, [4]ag_lnd_totl_k2!$BM$2:$BM$195)</f>
        <v>2780</v>
      </c>
      <c r="H192" s="17" t="e">
        <f>_xlfn.XLOOKUP($A192,[5]industrial_water_withdrawal_per!$A$2:$A$179,[5]industrial_water_withdrawal_per!$BH$2:$BH$179 )</f>
        <v>#N/A</v>
      </c>
      <c r="I192" s="17" t="e">
        <f>_xlfn.XLOOKUP($A192,[6]agricultural_water_withdrawal_p!$A$2:$A$180,[6]agricultural_water_withdrawal_p!$BH$2:$BH$180 )</f>
        <v>#N/A</v>
      </c>
      <c r="J192" s="17" t="e">
        <f>_xlfn.XLOOKUP($A192,[7]total_water_withdrawal_billion_!$A$2:$A$180, [7]total_water_withdrawal_billion_!$BK$2:$BK$180  )</f>
        <v>#N/A</v>
      </c>
      <c r="K192" s="17" t="e">
        <f>_xlfn.XLOOKUP($A192,[8]hydro_power_generation_total!$A$2:$A$119,[8]hydro_power_generation_total!$BA$2:$BA$119 )</f>
        <v>#N/A</v>
      </c>
      <c r="L192" s="17" t="str">
        <f>_xlfn.XLOOKUP($A192,[9]ag_lnd_prcp_mm!$A$2:$A$182, [9]ag_lnd_prcp_mm!$BL$2:$BL$182)</f>
        <v>2880</v>
      </c>
      <c r="M192" s="17" t="str">
        <f>_xlfn.XLOOKUP($A192,[10]co2_pcap_cons!$A$2:$A$193, [10]co2_pcap_cons!$HQ$2:$HQ$193)</f>
        <v>1.429</v>
      </c>
      <c r="N192" s="17" t="str">
        <f>_xlfn.XLOOKUP($A192,[11]primary_forest_area_ha!$A$2:$A$193, [11]primary_forest_area_ha!$AD$2:$AD$193)</f>
        <v>20</v>
      </c>
      <c r="O192" s="17" t="str">
        <f>_xlfn.XLOOKUP($A192,[12]en_mam_thrd_no!$A$2:$A$195,[12]en_mam_thrd_no!$G$2:$G$195)</f>
        <v>2</v>
      </c>
      <c r="P192" s="17" t="str">
        <f>_xlfn.XLOOKUP($A192,[13]en_fsh_thrd_no!$A$2:$A$195,[13]en_fsh_thrd_no!$G$2:$G$195)</f>
        <v>26</v>
      </c>
      <c r="Q192" s="17" t="str">
        <f>_xlfn.XLOOKUP($A192,[14]en_bir_thrd_no!$A$2:$A$195,[14]en_bir_thrd_no!$G$2:$G$195)</f>
        <v>5</v>
      </c>
      <c r="R192" s="17" t="str">
        <f>_xlfn.XLOOKUP($A192,[15]en_hpt_thrd_no!$A$2:$A$195,[15]en_hpt_thrd_no!$G$2:$G$195)</f>
        <v>10</v>
      </c>
      <c r="S192" s="17" t="str">
        <f>_xlfn.XLOOKUP($A192,[16]er_lnd_ptld_zs!$A$2:$A$194, [16]er_lnd_ptld_zs!$O$2:$O$194)</f>
        <v>7.9</v>
      </c>
      <c r="T192" s="17" t="str">
        <f>_xlfn.XLOOKUP($A192,[17]er_mrn_ptmr_zs!$A$2:$A$155,[17]er_mrn_ptmr_zs!$O$2:$O$155)</f>
        <v>0.2</v>
      </c>
    </row>
    <row r="193" spans="1:20" x14ac:dyDescent="0.2">
      <c r="A193" t="s">
        <v>573</v>
      </c>
      <c r="B193" t="s">
        <v>574</v>
      </c>
      <c r="C193" s="18" t="str">
        <f>_xlfn.XLOOKUP(A193,[1]Tabelle1!$A$2:$A$196,[1]Tabelle1!$C$2:$C$196)</f>
        <v>asia</v>
      </c>
      <c r="D193" t="s">
        <v>575</v>
      </c>
      <c r="E193" s="17" t="str">
        <f>_xlfn.XLOOKUP(A193,[2]lex!$A$2:$A$195, [2]lex!$HU$2:$HU$195)</f>
        <v>72.11</v>
      </c>
      <c r="F193" s="17" t="str">
        <f>_xlfn.XLOOKUP(A193,[3]gdp_pcap!$A$2:$A$194,[3]gdp_pcap!$HT$2:$HT$194 )</f>
        <v>1721.89143</v>
      </c>
      <c r="G193" s="17" t="str">
        <f>_xlfn.XLOOKUP($A193,[4]ag_lnd_totl_k2!$A$2:$A$195, [4]ag_lnd_totl_k2!$BM$2:$BM$195)</f>
        <v>527970</v>
      </c>
      <c r="H193" s="17" t="str">
        <f>_xlfn.XLOOKUP($A193,[5]industrial_water_withdrawal_per!$A$2:$A$179,[5]industrial_water_withdrawal_per!$BH$2:$BH$179 )</f>
        <v>1.8233</v>
      </c>
      <c r="I193" s="17" t="str">
        <f>_xlfn.XLOOKUP($A193,[6]agricultural_water_withdrawal_p!$A$2:$A$180,[6]agricultural_water_withdrawal_p!$BH$2:$BH$180 )</f>
        <v>90.743</v>
      </c>
      <c r="J193" s="17" t="str">
        <f>_xlfn.XLOOKUP($A193,[7]total_water_withdrawal_billion_!$A$2:$A$180, [7]total_water_withdrawal_billion_!$BK$2:$BK$180  )</f>
        <v>3.565</v>
      </c>
      <c r="K193" s="17" t="e">
        <f>_xlfn.XLOOKUP($A193,[8]hydro_power_generation_total!$A$2:$A$119,[8]hydro_power_generation_total!$BA$2:$BA$119 )</f>
        <v>#N/A</v>
      </c>
      <c r="L193" s="17" t="str">
        <f>_xlfn.XLOOKUP($A193,[9]ag_lnd_prcp_mm!$A$2:$A$182, [9]ag_lnd_prcp_mm!$BL$2:$BL$182)</f>
        <v>167</v>
      </c>
      <c r="M193" s="17" t="str">
        <f>_xlfn.XLOOKUP($A193,[10]co2_pcap_cons!$A$2:$A$193, [10]co2_pcap_cons!$HQ$2:$HQ$193)</f>
        <v>0.395</v>
      </c>
      <c r="N193" s="17">
        <f>_xlfn.XLOOKUP($A193,[11]primary_forest_area_ha!$A$2:$A$193, [11]primary_forest_area_ha!$AD$2:$AD$193)</f>
        <v>0</v>
      </c>
      <c r="O193" s="17" t="str">
        <f>_xlfn.XLOOKUP($A193,[12]en_mam_thrd_no!$A$2:$A$195,[12]en_mam_thrd_no!$G$2:$G$195)</f>
        <v>12</v>
      </c>
      <c r="P193" s="17" t="str">
        <f>_xlfn.XLOOKUP($A193,[13]en_fsh_thrd_no!$A$2:$A$195,[13]en_fsh_thrd_no!$G$2:$G$195)</f>
        <v>67</v>
      </c>
      <c r="Q193" s="17" t="str">
        <f>_xlfn.XLOOKUP($A193,[14]en_bir_thrd_no!$A$2:$A$195,[14]en_bir_thrd_no!$G$2:$G$195)</f>
        <v>17</v>
      </c>
      <c r="R193" s="17" t="str">
        <f>_xlfn.XLOOKUP($A193,[15]en_hpt_thrd_no!$A$2:$A$195,[15]en_hpt_thrd_no!$G$2:$G$195)</f>
        <v>165</v>
      </c>
      <c r="S193" s="17" t="str">
        <f>_xlfn.XLOOKUP($A193,[16]er_lnd_ptld_zs!$A$2:$A$194, [16]er_lnd_ptld_zs!$O$2:$O$194)</f>
        <v>1.1</v>
      </c>
      <c r="T193" s="17" t="str">
        <f>_xlfn.XLOOKUP($A193,[17]er_mrn_ptmr_zs!$A$2:$A$155,[17]er_mrn_ptmr_zs!$O$2:$O$155)</f>
        <v>0.4</v>
      </c>
    </row>
    <row r="194" spans="1:20" x14ac:dyDescent="0.2">
      <c r="A194" t="s">
        <v>576</v>
      </c>
      <c r="B194" t="s">
        <v>577</v>
      </c>
      <c r="C194" s="18" t="str">
        <f>_xlfn.XLOOKUP(A194,[1]Tabelle1!$A$2:$A$196,[1]Tabelle1!$C$2:$C$196)</f>
        <v>africa</v>
      </c>
      <c r="D194" t="s">
        <v>578</v>
      </c>
      <c r="E194" s="17" t="str">
        <f>_xlfn.XLOOKUP(A194,[2]lex!$A$2:$A$195, [2]lex!$HU$2:$HU$195)</f>
        <v>67.1</v>
      </c>
      <c r="F194" s="17" t="str">
        <f>_xlfn.XLOOKUP(A194,[3]gdp_pcap!$A$2:$A$194,[3]gdp_pcap!$HT$2:$HT$194 )</f>
        <v>13889.23888</v>
      </c>
      <c r="G194" s="17" t="str">
        <f>_xlfn.XLOOKUP($A194,[4]ag_lnd_totl_k2!$A$2:$A$195, [4]ag_lnd_totl_k2!$BM$2:$BM$195)</f>
        <v>1213090</v>
      </c>
      <c r="H194" s="17" t="str">
        <f>_xlfn.XLOOKUP($A194,[5]industrial_water_withdrawal_per!$A$2:$A$179,[5]industrial_water_withdrawal_per!$BH$2:$BH$179 )</f>
        <v>23.16</v>
      </c>
      <c r="I194" s="17" t="str">
        <f>_xlfn.XLOOKUP($A194,[6]agricultural_water_withdrawal_p!$A$2:$A$180,[6]agricultural_water_withdrawal_p!$BH$2:$BH$180 )</f>
        <v>59.4</v>
      </c>
      <c r="J194" s="17" t="str">
        <f>_xlfn.XLOOKUP($A194,[7]total_water_withdrawal_billion_!$A$2:$A$180, [7]total_water_withdrawal_billion_!$BK$2:$BK$180  )</f>
        <v>19.931</v>
      </c>
      <c r="K194" s="17" t="str">
        <f>_xlfn.XLOOKUP($A194,[8]hydro_power_generation_total!$A$2:$A$119,[8]hydro_power_generation_total!$BA$2:$BA$119 )</f>
        <v>183800</v>
      </c>
      <c r="L194" s="17" t="str">
        <f>_xlfn.XLOOKUP($A194,[9]ag_lnd_prcp_mm!$A$2:$A$182, [9]ag_lnd_prcp_mm!$BL$2:$BL$182)</f>
        <v>495</v>
      </c>
      <c r="M194" s="17" t="str">
        <f>_xlfn.XLOOKUP($A194,[10]co2_pcap_cons!$A$2:$A$193, [10]co2_pcap_cons!$HQ$2:$HQ$193)</f>
        <v>5.179</v>
      </c>
      <c r="N194" s="17" t="str">
        <f>_xlfn.XLOOKUP($A194,[11]primary_forest_area_ha!$A$2:$A$193, [11]primary_forest_area_ha!$AD$2:$AD$193)</f>
        <v>947000</v>
      </c>
      <c r="O194" s="17" t="str">
        <f>_xlfn.XLOOKUP($A194,[12]en_mam_thrd_no!$A$2:$A$195,[12]en_mam_thrd_no!$G$2:$G$195)</f>
        <v>33</v>
      </c>
      <c r="P194" s="17" t="str">
        <f>_xlfn.XLOOKUP($A194,[13]en_fsh_thrd_no!$A$2:$A$195,[13]en_fsh_thrd_no!$G$2:$G$195)</f>
        <v>153</v>
      </c>
      <c r="Q194" s="17" t="str">
        <f>_xlfn.XLOOKUP($A194,[14]en_bir_thrd_no!$A$2:$A$195,[14]en_bir_thrd_no!$G$2:$G$195)</f>
        <v>54</v>
      </c>
      <c r="R194" s="17" t="str">
        <f>_xlfn.XLOOKUP($A194,[15]en_hpt_thrd_no!$A$2:$A$195,[15]en_hpt_thrd_no!$G$2:$G$195)</f>
        <v>428</v>
      </c>
      <c r="S194" s="17" t="str">
        <f>_xlfn.XLOOKUP($A194,[16]er_lnd_ptld_zs!$A$2:$A$194, [16]er_lnd_ptld_zs!$O$2:$O$194)</f>
        <v>9.6</v>
      </c>
      <c r="T194" s="17" t="str">
        <f>_xlfn.XLOOKUP($A194,[17]er_mrn_ptmr_zs!$A$2:$A$155,[17]er_mrn_ptmr_zs!$O$2:$O$155)</f>
        <v>15.4</v>
      </c>
    </row>
    <row r="195" spans="1:20" x14ac:dyDescent="0.2">
      <c r="A195" t="s">
        <v>579</v>
      </c>
      <c r="B195" t="s">
        <v>580</v>
      </c>
      <c r="C195" s="18" t="str">
        <f>_xlfn.XLOOKUP(A195,[1]Tabelle1!$A$2:$A$196,[1]Tabelle1!$C$2:$C$196)</f>
        <v>africa</v>
      </c>
      <c r="D195" t="s">
        <v>581</v>
      </c>
      <c r="E195" s="17" t="str">
        <f>_xlfn.XLOOKUP(A195,[2]lex!$A$2:$A$195, [2]lex!$HU$2:$HU$195)</f>
        <v>62.06</v>
      </c>
      <c r="F195" s="17" t="str">
        <f>_xlfn.XLOOKUP(A195,[3]gdp_pcap!$A$2:$A$194,[3]gdp_pcap!$HT$2:$HT$194 )</f>
        <v>3944.46383</v>
      </c>
      <c r="G195" s="17" t="str">
        <f>_xlfn.XLOOKUP($A195,[4]ag_lnd_totl_k2!$A$2:$A$195, [4]ag_lnd_totl_k2!$BM$2:$BM$195)</f>
        <v>743390</v>
      </c>
      <c r="H195" s="17" t="str">
        <f>_xlfn.XLOOKUP($A195,[5]industrial_water_withdrawal_per!$A$2:$A$179,[5]industrial_water_withdrawal_per!$BH$2:$BH$179 )</f>
        <v>8.2697</v>
      </c>
      <c r="I195" s="17" t="str">
        <f>_xlfn.XLOOKUP($A195,[6]agricultural_water_withdrawal_p!$A$2:$A$180,[6]agricultural_water_withdrawal_p!$BH$2:$BH$180 )</f>
        <v>73.282</v>
      </c>
      <c r="J195" s="17" t="str">
        <f>_xlfn.XLOOKUP($A195,[7]total_water_withdrawal_billion_!$A$2:$A$180, [7]total_water_withdrawal_billion_!$BK$2:$BK$180  )</f>
        <v>1.572</v>
      </c>
      <c r="K195" s="17" t="str">
        <f>_xlfn.XLOOKUP($A195,[8]hydro_power_generation_total!$A$2:$A$119,[8]hydro_power_generation_total!$BA$2:$BA$119 )</f>
        <v>969300</v>
      </c>
      <c r="L195" s="17" t="str">
        <f>_xlfn.XLOOKUP($A195,[9]ag_lnd_prcp_mm!$A$2:$A$182, [9]ag_lnd_prcp_mm!$BL$2:$BL$182)</f>
        <v>1020</v>
      </c>
      <c r="M195" s="17" t="str">
        <f>_xlfn.XLOOKUP($A195,[10]co2_pcap_cons!$A$2:$A$193, [10]co2_pcap_cons!$HQ$2:$HQ$193)</f>
        <v>0.424</v>
      </c>
      <c r="N195" s="17">
        <f>_xlfn.XLOOKUP($A195,[11]primary_forest_area_ha!$A$2:$A$193, [11]primary_forest_area_ha!$AD$2:$AD$193)</f>
        <v>0</v>
      </c>
      <c r="O195" s="17" t="str">
        <f>_xlfn.XLOOKUP($A195,[12]en_mam_thrd_no!$A$2:$A$195,[12]en_mam_thrd_no!$G$2:$G$195)</f>
        <v>13</v>
      </c>
      <c r="P195" s="17" t="str">
        <f>_xlfn.XLOOKUP($A195,[13]en_fsh_thrd_no!$A$2:$A$195,[13]en_fsh_thrd_no!$G$2:$G$195)</f>
        <v>26</v>
      </c>
      <c r="Q195" s="17" t="str">
        <f>_xlfn.XLOOKUP($A195,[14]en_bir_thrd_no!$A$2:$A$195,[14]en_bir_thrd_no!$G$2:$G$195)</f>
        <v>22</v>
      </c>
      <c r="R195" s="17" t="str">
        <f>_xlfn.XLOOKUP($A195,[15]en_hpt_thrd_no!$A$2:$A$195,[15]en_hpt_thrd_no!$G$2:$G$195)</f>
        <v>57</v>
      </c>
      <c r="S195" s="17" t="str">
        <f>_xlfn.XLOOKUP($A195,[16]er_lnd_ptld_zs!$A$2:$A$194, [16]er_lnd_ptld_zs!$O$2:$O$194)</f>
        <v>41.3</v>
      </c>
      <c r="T195" s="17" t="e">
        <f>_xlfn.XLOOKUP($A195,[17]er_mrn_ptmr_zs!$A$2:$A$155,[17]er_mrn_ptmr_zs!$O$2:$O$155)</f>
        <v>#N/A</v>
      </c>
    </row>
    <row r="196" spans="1:20" x14ac:dyDescent="0.2">
      <c r="A196" t="s">
        <v>582</v>
      </c>
      <c r="B196" t="s">
        <v>583</v>
      </c>
      <c r="C196" s="18" t="str">
        <f>_xlfn.XLOOKUP(A196,[1]Tabelle1!$A$2:$A$196,[1]Tabelle1!$C$2:$C$196)</f>
        <v>africa</v>
      </c>
      <c r="D196" t="s">
        <v>584</v>
      </c>
      <c r="E196" s="17" t="str">
        <f>_xlfn.XLOOKUP(A196,[2]lex!$A$2:$A$195, [2]lex!$HU$2:$HU$195)</f>
        <v>67.14</v>
      </c>
      <c r="F196" s="17" t="str">
        <f>_xlfn.XLOOKUP(A196,[3]gdp_pcap!$A$2:$A$194,[3]gdp_pcap!$HT$2:$HT$194 )</f>
        <v>3675.57058</v>
      </c>
      <c r="G196" s="17" t="str">
        <f>_xlfn.XLOOKUP($A196,[4]ag_lnd_totl_k2!$A$2:$A$195, [4]ag_lnd_totl_k2!$BM$2:$BM$195)</f>
        <v>386850</v>
      </c>
      <c r="H196" s="17" t="str">
        <f>_xlfn.XLOOKUP($A196,[5]industrial_water_withdrawal_per!$A$2:$A$179,[5]industrial_water_withdrawal_per!$BH$2:$BH$179 )</f>
        <v>1.657</v>
      </c>
      <c r="I196" s="17" t="str">
        <f>_xlfn.XLOOKUP($A196,[6]agricultural_water_withdrawal_p!$A$2:$A$180,[6]agricultural_water_withdrawal_p!$BH$2:$BH$180 )</f>
        <v>87.2</v>
      </c>
      <c r="J196" s="17" t="str">
        <f>_xlfn.XLOOKUP($A196,[7]total_water_withdrawal_billion_!$A$2:$A$180, [7]total_water_withdrawal_billion_!$BK$2:$BK$180  )</f>
        <v>4.9097</v>
      </c>
      <c r="K196" s="17" t="str">
        <f>_xlfn.XLOOKUP($A196,[8]hydro_power_generation_total!$A$2:$A$119,[8]hydro_power_generation_total!$BA$2:$BA$119 )</f>
        <v>349400</v>
      </c>
      <c r="L196" s="17" t="str">
        <f>_xlfn.XLOOKUP($A196,[9]ag_lnd_prcp_mm!$A$2:$A$182, [9]ag_lnd_prcp_mm!$BL$2:$BL$182)</f>
        <v>657</v>
      </c>
      <c r="M196" s="17" t="str">
        <f>_xlfn.XLOOKUP($A196,[10]co2_pcap_cons!$A$2:$A$193, [10]co2_pcap_cons!$HQ$2:$HQ$193)</f>
        <v>0.804</v>
      </c>
      <c r="N196" s="17" t="str">
        <f>_xlfn.XLOOKUP($A196,[11]primary_forest_area_ha!$A$2:$A$193, [11]primary_forest_area_ha!$AD$2:$AD$193)</f>
        <v>801000</v>
      </c>
      <c r="O196" s="17" t="str">
        <f>_xlfn.XLOOKUP($A196,[12]en_mam_thrd_no!$A$2:$A$195,[12]en_mam_thrd_no!$G$2:$G$195)</f>
        <v>10</v>
      </c>
      <c r="P196" s="17" t="str">
        <f>_xlfn.XLOOKUP($A196,[13]en_fsh_thrd_no!$A$2:$A$195,[13]en_fsh_thrd_no!$G$2:$G$195)</f>
        <v>5</v>
      </c>
      <c r="Q196" s="17" t="str">
        <f>_xlfn.XLOOKUP($A196,[14]en_bir_thrd_no!$A$2:$A$195,[14]en_bir_thrd_no!$G$2:$G$195)</f>
        <v>22</v>
      </c>
      <c r="R196" s="17" t="str">
        <f>_xlfn.XLOOKUP($A196,[15]en_hpt_thrd_no!$A$2:$A$195,[15]en_hpt_thrd_no!$G$2:$G$195)</f>
        <v>80</v>
      </c>
      <c r="S196" s="17" t="str">
        <f>_xlfn.XLOOKUP($A196,[16]er_lnd_ptld_zs!$A$2:$A$194, [16]er_lnd_ptld_zs!$O$2:$O$194)</f>
        <v>28.3</v>
      </c>
      <c r="T196" s="17" t="e">
        <f>_xlfn.XLOOKUP($A196,[17]er_mrn_ptmr_zs!$A$2:$A$155,[17]er_mrn_ptmr_zs!$O$2:$O$155)</f>
        <v>#N/A</v>
      </c>
    </row>
  </sheetData>
  <pageMargins left="0.7" right="0.7" top="0.75" bottom="0.75" header="0.3" footer="0.3"/>
  <ignoredErrors>
    <ignoredError sqref="A1:B196 D2:D1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7D3E-2642-1D4A-9835-BDF0AE76E542}">
  <dimension ref="A1:T196"/>
  <sheetViews>
    <sheetView tabSelected="1" workbookViewId="0">
      <selection activeCell="F4" sqref="F4"/>
    </sheetView>
  </sheetViews>
  <sheetFormatPr baseColWidth="10" defaultRowHeight="16" x14ac:dyDescent="0.2"/>
  <cols>
    <col min="4" max="5" width="10.83203125" style="17"/>
    <col min="6" max="6" width="20.5" style="17" customWidth="1"/>
    <col min="7" max="20" width="10.83203125" style="17"/>
  </cols>
  <sheetData>
    <row r="1" spans="1:20" s="1" customFormat="1" x14ac:dyDescent="0.2">
      <c r="A1" s="1" t="s">
        <v>0</v>
      </c>
      <c r="B1" s="1" t="s">
        <v>1</v>
      </c>
      <c r="C1" s="1" t="s">
        <v>634</v>
      </c>
      <c r="D1" s="20" t="s">
        <v>636</v>
      </c>
      <c r="E1" s="20" t="s">
        <v>637</v>
      </c>
      <c r="F1" s="20" t="s">
        <v>585</v>
      </c>
      <c r="G1" s="20" t="s">
        <v>598</v>
      </c>
      <c r="H1" s="20" t="s">
        <v>586</v>
      </c>
      <c r="I1" s="20" t="s">
        <v>587</v>
      </c>
      <c r="J1" s="20" t="s">
        <v>639</v>
      </c>
      <c r="K1" s="20" t="s">
        <v>599</v>
      </c>
      <c r="L1" s="20" t="s">
        <v>588</v>
      </c>
      <c r="M1" s="20" t="s">
        <v>638</v>
      </c>
      <c r="N1" s="20" t="s">
        <v>589</v>
      </c>
      <c r="O1" s="20" t="s">
        <v>590</v>
      </c>
      <c r="P1" s="20" t="s">
        <v>591</v>
      </c>
      <c r="Q1" s="20" t="s">
        <v>592</v>
      </c>
      <c r="R1" s="20" t="s">
        <v>593</v>
      </c>
      <c r="S1" s="20" t="s">
        <v>594</v>
      </c>
      <c r="T1" s="20" t="s">
        <v>595</v>
      </c>
    </row>
    <row r="2" spans="1:20" x14ac:dyDescent="0.2">
      <c r="A2" t="s">
        <v>2</v>
      </c>
      <c r="B2" t="s">
        <v>3</v>
      </c>
      <c r="C2" t="s">
        <v>640</v>
      </c>
      <c r="D2" s="19">
        <v>43844111</v>
      </c>
      <c r="E2" s="21">
        <v>69.33</v>
      </c>
      <c r="F2" s="19">
        <v>2092.5458800000001</v>
      </c>
      <c r="G2" s="19">
        <v>652230</v>
      </c>
      <c r="H2" s="19">
        <v>0.83199000000000001</v>
      </c>
      <c r="I2" s="19">
        <v>98.17</v>
      </c>
      <c r="J2" s="19">
        <v>20.373000000000001</v>
      </c>
      <c r="L2" s="19">
        <v>327</v>
      </c>
      <c r="M2" s="19">
        <v>0.28399999999999997</v>
      </c>
      <c r="N2" s="17">
        <v>0</v>
      </c>
      <c r="O2" s="19">
        <v>12</v>
      </c>
      <c r="P2" s="19">
        <v>11</v>
      </c>
      <c r="Q2" s="19">
        <v>16</v>
      </c>
      <c r="R2" s="19">
        <v>9</v>
      </c>
      <c r="S2" s="19">
        <v>3.6</v>
      </c>
    </row>
    <row r="3" spans="1:20" x14ac:dyDescent="0.2">
      <c r="A3" t="s">
        <v>5</v>
      </c>
      <c r="B3" t="s">
        <v>6</v>
      </c>
      <c r="C3" t="s">
        <v>641</v>
      </c>
      <c r="D3" s="19">
        <v>39040039</v>
      </c>
      <c r="E3" s="21">
        <v>64.900000000000006</v>
      </c>
      <c r="F3" s="19">
        <v>7457.17479</v>
      </c>
      <c r="G3" s="19">
        <v>1246700</v>
      </c>
      <c r="H3" s="19">
        <v>33.947000000000003</v>
      </c>
      <c r="I3" s="19">
        <v>20.785</v>
      </c>
      <c r="J3" s="19">
        <v>0.70579999999999998</v>
      </c>
      <c r="K3" s="19">
        <v>304000</v>
      </c>
      <c r="L3" s="19">
        <v>1010</v>
      </c>
      <c r="M3" s="19">
        <v>1.2250000000000001</v>
      </c>
      <c r="N3" s="17">
        <v>0</v>
      </c>
      <c r="O3" s="19">
        <v>24</v>
      </c>
      <c r="P3" s="19">
        <v>82</v>
      </c>
      <c r="Q3" s="19">
        <v>33</v>
      </c>
      <c r="R3" s="19">
        <v>68</v>
      </c>
      <c r="S3" s="19">
        <v>10.8</v>
      </c>
      <c r="T3" s="17">
        <v>0</v>
      </c>
    </row>
    <row r="4" spans="1:20" x14ac:dyDescent="0.2">
      <c r="A4" t="s">
        <v>8</v>
      </c>
      <c r="B4" t="s">
        <v>9</v>
      </c>
      <c r="C4" t="s">
        <v>642</v>
      </c>
      <c r="D4" s="19">
        <v>2771508</v>
      </c>
      <c r="E4" s="21">
        <v>80.099999999999994</v>
      </c>
      <c r="F4" s="19">
        <v>20361.79277</v>
      </c>
      <c r="G4" s="19">
        <v>27400</v>
      </c>
      <c r="H4" s="19">
        <v>1.3802000000000001</v>
      </c>
      <c r="I4" s="19">
        <v>70.891000000000005</v>
      </c>
      <c r="J4" s="19">
        <v>0.79700000000000004</v>
      </c>
      <c r="K4" s="19">
        <v>651700</v>
      </c>
      <c r="L4" s="19">
        <v>1485</v>
      </c>
      <c r="M4" s="19">
        <v>2.1030000000000002</v>
      </c>
      <c r="N4" s="19">
        <v>84800</v>
      </c>
      <c r="O4" s="19">
        <v>4</v>
      </c>
      <c r="P4" s="19">
        <v>60</v>
      </c>
      <c r="Q4" s="19">
        <v>8</v>
      </c>
      <c r="R4" s="19">
        <v>5</v>
      </c>
      <c r="S4" s="19">
        <v>23.6</v>
      </c>
      <c r="T4" s="19">
        <v>3.4</v>
      </c>
    </row>
    <row r="5" spans="1:20" x14ac:dyDescent="0.2">
      <c r="A5" t="s">
        <v>11</v>
      </c>
      <c r="B5" t="s">
        <v>12</v>
      </c>
      <c r="C5" t="s">
        <v>642</v>
      </c>
      <c r="D5" s="19">
        <v>82904</v>
      </c>
      <c r="E5" s="21">
        <v>84.4</v>
      </c>
      <c r="F5" s="19">
        <v>67385.015289999996</v>
      </c>
      <c r="G5" s="19">
        <v>470</v>
      </c>
      <c r="M5" s="19">
        <v>5.9089999999999998</v>
      </c>
      <c r="N5" s="17">
        <v>0</v>
      </c>
      <c r="O5" s="19">
        <v>2</v>
      </c>
      <c r="P5" s="17">
        <v>0</v>
      </c>
      <c r="Q5" s="19">
        <v>3</v>
      </c>
      <c r="R5" s="19">
        <v>1</v>
      </c>
      <c r="S5" s="19">
        <v>27.3</v>
      </c>
    </row>
    <row r="6" spans="1:20" x14ac:dyDescent="0.2">
      <c r="A6" t="s">
        <v>14</v>
      </c>
      <c r="B6" t="s">
        <v>15</v>
      </c>
      <c r="C6" t="s">
        <v>640</v>
      </c>
      <c r="D6" s="19">
        <v>11346000</v>
      </c>
      <c r="E6" s="21">
        <v>80.58</v>
      </c>
      <c r="F6" s="19">
        <v>72660.144870000004</v>
      </c>
      <c r="G6" s="19">
        <v>71020</v>
      </c>
      <c r="H6" s="19">
        <v>1.1415999999999999</v>
      </c>
      <c r="I6" s="19">
        <v>51.18</v>
      </c>
      <c r="J6" s="19">
        <v>4.8177000000000003</v>
      </c>
      <c r="L6" s="19">
        <v>78</v>
      </c>
      <c r="M6" s="19">
        <v>21.122</v>
      </c>
      <c r="N6" s="17">
        <v>0</v>
      </c>
      <c r="O6" s="19">
        <v>8</v>
      </c>
      <c r="P6" s="19">
        <v>53</v>
      </c>
      <c r="Q6" s="19">
        <v>13</v>
      </c>
      <c r="R6" s="17">
        <v>0</v>
      </c>
      <c r="S6" s="19">
        <v>19.2</v>
      </c>
      <c r="T6" s="19">
        <v>12</v>
      </c>
    </row>
    <row r="7" spans="1:20" x14ac:dyDescent="0.2">
      <c r="A7" t="s">
        <v>17</v>
      </c>
      <c r="B7" t="s">
        <v>18</v>
      </c>
      <c r="C7" t="s">
        <v>643</v>
      </c>
      <c r="D7" s="19">
        <v>45851378</v>
      </c>
      <c r="E7" s="21">
        <v>78</v>
      </c>
      <c r="F7" s="19">
        <v>28467.058550000002</v>
      </c>
      <c r="G7" s="19">
        <v>2736690</v>
      </c>
      <c r="H7" s="19">
        <v>10.587999999999999</v>
      </c>
      <c r="I7" s="19">
        <v>73.927999999999997</v>
      </c>
      <c r="J7" s="19">
        <v>37.78</v>
      </c>
      <c r="K7" s="19">
        <v>2888000</v>
      </c>
      <c r="L7" s="19">
        <v>591</v>
      </c>
      <c r="M7" s="19">
        <v>3.847</v>
      </c>
      <c r="N7" s="19">
        <v>1738000</v>
      </c>
      <c r="O7" s="19">
        <v>39</v>
      </c>
      <c r="P7" s="19">
        <v>83</v>
      </c>
      <c r="Q7" s="19">
        <v>54</v>
      </c>
      <c r="R7" s="19">
        <v>73</v>
      </c>
      <c r="S7" s="19">
        <v>8.8000000000000007</v>
      </c>
      <c r="T7" s="19">
        <v>12</v>
      </c>
    </row>
    <row r="8" spans="1:20" x14ac:dyDescent="0.2">
      <c r="A8" t="s">
        <v>20</v>
      </c>
      <c r="B8" t="s">
        <v>21</v>
      </c>
      <c r="C8" t="s">
        <v>642</v>
      </c>
      <c r="D8" s="19">
        <v>2952365</v>
      </c>
      <c r="E8" s="21">
        <v>80.13</v>
      </c>
      <c r="F8" s="19">
        <v>21539.011470000001</v>
      </c>
      <c r="G8" s="19">
        <v>28199.439999999999</v>
      </c>
      <c r="H8" s="19">
        <v>4.8827999999999996</v>
      </c>
      <c r="I8" s="19">
        <v>77.474000000000004</v>
      </c>
      <c r="J8" s="19">
        <v>3.0720000000000001</v>
      </c>
      <c r="K8" s="19">
        <v>219800</v>
      </c>
      <c r="L8" s="19">
        <v>562</v>
      </c>
      <c r="M8" s="19">
        <v>2.7</v>
      </c>
      <c r="N8" s="19">
        <v>17000</v>
      </c>
      <c r="O8" s="19">
        <v>7</v>
      </c>
      <c r="P8" s="19">
        <v>4</v>
      </c>
      <c r="Q8" s="19">
        <v>15</v>
      </c>
      <c r="R8" s="19">
        <v>76</v>
      </c>
      <c r="S8" s="19">
        <v>38.9</v>
      </c>
    </row>
    <row r="9" spans="1:20" x14ac:dyDescent="0.2">
      <c r="A9" t="s">
        <v>23</v>
      </c>
      <c r="B9" t="s">
        <v>24</v>
      </c>
      <c r="C9" t="s">
        <v>643</v>
      </c>
      <c r="D9" s="19">
        <v>94209</v>
      </c>
      <c r="E9" s="21">
        <v>78.3</v>
      </c>
      <c r="F9" s="19">
        <v>30870.843720000001</v>
      </c>
      <c r="G9" s="19">
        <v>440</v>
      </c>
      <c r="H9" s="19">
        <v>21.739000000000001</v>
      </c>
      <c r="I9" s="19">
        <v>15.651999999999999</v>
      </c>
      <c r="J9" s="19">
        <v>1.15E-2</v>
      </c>
      <c r="L9" s="19">
        <v>1030</v>
      </c>
      <c r="M9" s="19">
        <v>5.9390000000000001</v>
      </c>
      <c r="N9" s="17">
        <v>0</v>
      </c>
      <c r="O9" s="19">
        <v>2</v>
      </c>
      <c r="P9" s="19">
        <v>49</v>
      </c>
      <c r="Q9" s="19">
        <v>3</v>
      </c>
      <c r="R9" s="19">
        <v>2</v>
      </c>
      <c r="S9" s="19">
        <v>16.5</v>
      </c>
      <c r="T9" s="19">
        <v>0.7</v>
      </c>
    </row>
    <row r="10" spans="1:20" x14ac:dyDescent="0.2">
      <c r="A10" t="s">
        <v>26</v>
      </c>
      <c r="B10" t="s">
        <v>27</v>
      </c>
      <c r="C10" t="s">
        <v>640</v>
      </c>
      <c r="D10" s="19">
        <v>26974026</v>
      </c>
      <c r="E10" s="21">
        <v>84.3</v>
      </c>
      <c r="F10" s="17">
        <v>61942.614759999997</v>
      </c>
      <c r="G10" s="19">
        <v>7692020</v>
      </c>
      <c r="H10" s="19">
        <v>18.588999999999999</v>
      </c>
      <c r="I10" s="19">
        <v>66.885999999999996</v>
      </c>
      <c r="J10" s="19">
        <v>16.73</v>
      </c>
      <c r="K10" s="19">
        <v>1072000</v>
      </c>
      <c r="L10" s="19">
        <v>534</v>
      </c>
      <c r="M10" s="19">
        <v>13.935</v>
      </c>
      <c r="N10" s="19">
        <v>5039000</v>
      </c>
      <c r="O10" s="19">
        <v>69</v>
      </c>
      <c r="P10" s="19">
        <v>214</v>
      </c>
      <c r="Q10" s="19">
        <v>66</v>
      </c>
      <c r="R10" s="19">
        <v>766</v>
      </c>
      <c r="S10" s="19">
        <v>22</v>
      </c>
      <c r="T10" s="19">
        <v>45.4</v>
      </c>
    </row>
    <row r="11" spans="1:20" x14ac:dyDescent="0.2">
      <c r="A11" t="s">
        <v>29</v>
      </c>
      <c r="B11" t="s">
        <v>30</v>
      </c>
      <c r="C11" t="s">
        <v>642</v>
      </c>
      <c r="D11" s="19">
        <v>9113574</v>
      </c>
      <c r="E11" s="21">
        <v>82.4</v>
      </c>
      <c r="F11" s="19">
        <v>64665.018759999999</v>
      </c>
      <c r="G11" s="19">
        <v>82520</v>
      </c>
      <c r="H11" s="19">
        <v>93.313999999999993</v>
      </c>
      <c r="I11" s="19">
        <v>5.2356999999999996</v>
      </c>
      <c r="J11" s="19">
        <v>2.3683999999999998</v>
      </c>
      <c r="K11" s="19">
        <v>3302000</v>
      </c>
      <c r="L11" s="19">
        <v>1110</v>
      </c>
      <c r="M11" s="19">
        <v>9.1999999999999993</v>
      </c>
      <c r="N11" s="19">
        <v>114000</v>
      </c>
      <c r="O11" s="19">
        <v>5</v>
      </c>
      <c r="P11" s="19">
        <v>13</v>
      </c>
      <c r="Q11" s="19">
        <v>13</v>
      </c>
      <c r="R11" s="19">
        <v>38</v>
      </c>
      <c r="S11" s="19">
        <v>29.6</v>
      </c>
    </row>
    <row r="12" spans="1:20" x14ac:dyDescent="0.2">
      <c r="A12" t="s">
        <v>32</v>
      </c>
      <c r="B12" t="s">
        <v>33</v>
      </c>
      <c r="C12" t="s">
        <v>642</v>
      </c>
      <c r="D12" s="19">
        <v>10397713</v>
      </c>
      <c r="E12" s="21">
        <v>73.09</v>
      </c>
      <c r="F12" s="19">
        <v>23177.533429999999</v>
      </c>
      <c r="G12" s="19">
        <v>82650</v>
      </c>
      <c r="H12" s="19">
        <v>4.6113999999999997</v>
      </c>
      <c r="I12" s="19">
        <v>92.242000000000004</v>
      </c>
      <c r="J12" s="19">
        <v>12.968</v>
      </c>
      <c r="K12" s="19">
        <v>296300</v>
      </c>
      <c r="L12" s="19">
        <v>447</v>
      </c>
      <c r="M12" s="19">
        <v>3.8420000000000001</v>
      </c>
      <c r="N12" s="17">
        <v>0</v>
      </c>
      <c r="O12" s="19">
        <v>7</v>
      </c>
      <c r="P12" s="19">
        <v>14</v>
      </c>
      <c r="Q12" s="19">
        <v>18</v>
      </c>
      <c r="R12" s="19">
        <v>46</v>
      </c>
      <c r="S12" s="19">
        <v>22.1</v>
      </c>
      <c r="T12" s="19">
        <v>1</v>
      </c>
    </row>
    <row r="13" spans="1:20" x14ac:dyDescent="0.2">
      <c r="A13" t="s">
        <v>35</v>
      </c>
      <c r="B13" t="s">
        <v>36</v>
      </c>
      <c r="C13" t="s">
        <v>641</v>
      </c>
      <c r="D13" s="19">
        <v>14390003</v>
      </c>
      <c r="E13" s="21">
        <v>62.19</v>
      </c>
      <c r="F13" s="19">
        <v>848.37447999999995</v>
      </c>
      <c r="G13" s="19">
        <v>25680</v>
      </c>
      <c r="H13" s="19">
        <v>5.3552</v>
      </c>
      <c r="I13" s="19">
        <v>79.257000000000005</v>
      </c>
      <c r="J13" s="19">
        <v>0.28010000000000002</v>
      </c>
      <c r="L13" s="19">
        <v>1274</v>
      </c>
      <c r="M13" s="19">
        <v>5.0999999999999997E-2</v>
      </c>
      <c r="N13" s="19">
        <v>40000</v>
      </c>
      <c r="O13" s="19">
        <v>16</v>
      </c>
      <c r="P13" s="19">
        <v>17</v>
      </c>
      <c r="Q13" s="19">
        <v>18</v>
      </c>
      <c r="R13" s="19">
        <v>159</v>
      </c>
      <c r="S13" s="19">
        <v>7.6</v>
      </c>
    </row>
    <row r="14" spans="1:20" x14ac:dyDescent="0.2">
      <c r="A14" t="s">
        <v>38</v>
      </c>
      <c r="B14" t="s">
        <v>39</v>
      </c>
      <c r="C14" t="s">
        <v>642</v>
      </c>
      <c r="D14" s="19">
        <v>11758603</v>
      </c>
      <c r="E14" s="21">
        <v>82.6</v>
      </c>
      <c r="F14" s="19">
        <v>65096.122620000002</v>
      </c>
      <c r="G14" s="19">
        <v>30494</v>
      </c>
      <c r="H14" s="19">
        <v>84.108999999999995</v>
      </c>
      <c r="I14" s="19">
        <v>0.85267999999999999</v>
      </c>
      <c r="J14" s="19">
        <v>4.9221000000000004</v>
      </c>
      <c r="K14" s="19">
        <v>26830</v>
      </c>
      <c r="L14" s="19">
        <v>847</v>
      </c>
      <c r="M14" s="19">
        <v>16.928000000000001</v>
      </c>
      <c r="N14" s="17">
        <v>0</v>
      </c>
      <c r="O14" s="19">
        <v>3</v>
      </c>
      <c r="P14" s="19">
        <v>19</v>
      </c>
      <c r="Q14" s="19">
        <v>8</v>
      </c>
      <c r="R14" s="19">
        <v>3</v>
      </c>
      <c r="S14" s="19">
        <v>16.399999999999999</v>
      </c>
      <c r="T14" s="19">
        <v>38.299999999999997</v>
      </c>
    </row>
    <row r="15" spans="1:20" x14ac:dyDescent="0.2">
      <c r="A15" t="s">
        <v>41</v>
      </c>
      <c r="B15" t="s">
        <v>42</v>
      </c>
      <c r="C15" t="s">
        <v>641</v>
      </c>
      <c r="D15" s="19">
        <v>14814460</v>
      </c>
      <c r="E15" s="21">
        <v>66.739999999999995</v>
      </c>
      <c r="F15" s="19">
        <v>4143.1416300000001</v>
      </c>
      <c r="G15" s="19">
        <v>112760</v>
      </c>
      <c r="H15" s="19">
        <v>12.821</v>
      </c>
      <c r="I15" s="19">
        <v>25.213999999999999</v>
      </c>
      <c r="J15" s="19">
        <v>0.23400000000000001</v>
      </c>
      <c r="K15" s="17">
        <v>0</v>
      </c>
      <c r="L15" s="19">
        <v>1039</v>
      </c>
      <c r="M15" s="19">
        <v>0.71</v>
      </c>
      <c r="N15" s="17">
        <v>0</v>
      </c>
      <c r="O15" s="19">
        <v>16</v>
      </c>
      <c r="P15" s="19">
        <v>73</v>
      </c>
      <c r="Q15" s="19">
        <v>14</v>
      </c>
      <c r="R15" s="19">
        <v>17</v>
      </c>
      <c r="S15" s="19">
        <v>36.1</v>
      </c>
      <c r="T15" s="19">
        <v>0.8</v>
      </c>
    </row>
    <row r="16" spans="1:20" x14ac:dyDescent="0.2">
      <c r="A16" t="s">
        <v>44</v>
      </c>
      <c r="B16" t="s">
        <v>45</v>
      </c>
      <c r="C16" t="s">
        <v>641</v>
      </c>
      <c r="D16" s="19">
        <v>24074580</v>
      </c>
      <c r="E16" s="21">
        <v>68.25</v>
      </c>
      <c r="F16" s="19">
        <v>2661.1876000000002</v>
      </c>
      <c r="G16" s="19">
        <v>273600</v>
      </c>
      <c r="H16" s="19">
        <v>2.6528</v>
      </c>
      <c r="I16" s="19">
        <v>51.43</v>
      </c>
      <c r="J16" s="19">
        <v>0.81799999999999995</v>
      </c>
      <c r="L16" s="19">
        <v>748</v>
      </c>
      <c r="M16" s="19">
        <v>0.30599999999999999</v>
      </c>
      <c r="N16" s="17">
        <v>0</v>
      </c>
      <c r="O16" s="19">
        <v>12</v>
      </c>
      <c r="P16" s="19">
        <v>3</v>
      </c>
      <c r="Q16" s="19">
        <v>15</v>
      </c>
      <c r="R16" s="19">
        <v>6</v>
      </c>
      <c r="S16" s="19">
        <v>16.8</v>
      </c>
    </row>
    <row r="17" spans="1:20" x14ac:dyDescent="0.2">
      <c r="A17" t="s">
        <v>47</v>
      </c>
      <c r="B17" t="s">
        <v>48</v>
      </c>
      <c r="C17" t="s">
        <v>640</v>
      </c>
      <c r="D17" s="19">
        <v>175686899</v>
      </c>
      <c r="E17" s="21">
        <v>71.86</v>
      </c>
      <c r="F17" s="19">
        <v>8950.4464399999997</v>
      </c>
      <c r="G17" s="19">
        <v>129980</v>
      </c>
      <c r="H17" s="19">
        <v>2.1465999999999998</v>
      </c>
      <c r="I17" s="19">
        <v>87.816999999999993</v>
      </c>
      <c r="J17" s="19">
        <v>35.869999999999997</v>
      </c>
      <c r="K17" s="19">
        <v>142900</v>
      </c>
      <c r="L17" s="19">
        <v>2666</v>
      </c>
      <c r="M17" s="19">
        <v>0.84399999999999997</v>
      </c>
      <c r="N17" s="19">
        <v>411000</v>
      </c>
      <c r="O17" s="19">
        <v>39</v>
      </c>
      <c r="P17" s="19">
        <v>75</v>
      </c>
      <c r="Q17" s="19">
        <v>36</v>
      </c>
      <c r="R17" s="19">
        <v>35</v>
      </c>
      <c r="S17" s="19">
        <v>4.2</v>
      </c>
      <c r="T17" s="19">
        <v>8.6</v>
      </c>
    </row>
    <row r="18" spans="1:20" x14ac:dyDescent="0.2">
      <c r="A18" t="s">
        <v>50</v>
      </c>
      <c r="B18" t="s">
        <v>51</v>
      </c>
      <c r="C18" t="s">
        <v>642</v>
      </c>
      <c r="D18" s="19">
        <v>6714560</v>
      </c>
      <c r="E18" s="21">
        <v>76.400000000000006</v>
      </c>
      <c r="F18" s="19">
        <v>36210.728159999999</v>
      </c>
      <c r="G18" s="19">
        <v>108560</v>
      </c>
      <c r="H18" s="19">
        <v>71.260000000000005</v>
      </c>
      <c r="I18" s="19">
        <v>13.345000000000001</v>
      </c>
      <c r="J18" s="19">
        <v>5.4433999999999996</v>
      </c>
      <c r="K18" s="19">
        <v>434800</v>
      </c>
      <c r="L18" s="19">
        <v>608</v>
      </c>
      <c r="M18" s="19">
        <v>5.8230000000000004</v>
      </c>
      <c r="N18" s="19">
        <v>597000</v>
      </c>
      <c r="O18" s="19">
        <v>10</v>
      </c>
      <c r="P18" s="19">
        <v>21</v>
      </c>
      <c r="Q18" s="19">
        <v>18</v>
      </c>
      <c r="R18" s="19">
        <v>13</v>
      </c>
      <c r="S18" s="19">
        <v>44.3</v>
      </c>
      <c r="T18" s="19">
        <v>8.1999999999999993</v>
      </c>
    </row>
    <row r="19" spans="1:20" x14ac:dyDescent="0.2">
      <c r="A19" t="s">
        <v>53</v>
      </c>
      <c r="B19" t="s">
        <v>54</v>
      </c>
      <c r="C19" t="s">
        <v>640</v>
      </c>
      <c r="D19" s="19">
        <v>1643332</v>
      </c>
      <c r="E19" s="21">
        <v>77.58</v>
      </c>
      <c r="F19" s="19">
        <v>60839.233809999998</v>
      </c>
      <c r="G19" s="19">
        <v>800</v>
      </c>
      <c r="H19" s="19">
        <v>3.2458999999999998</v>
      </c>
      <c r="I19" s="19">
        <v>33.31</v>
      </c>
      <c r="J19" s="19">
        <v>0.43440000000000001</v>
      </c>
      <c r="L19" s="19">
        <v>83</v>
      </c>
      <c r="M19" s="19">
        <v>16.036999999999999</v>
      </c>
      <c r="N19" s="17">
        <v>0</v>
      </c>
      <c r="O19" s="19">
        <v>3</v>
      </c>
      <c r="P19" s="19">
        <v>36</v>
      </c>
      <c r="Q19" s="19">
        <v>8</v>
      </c>
      <c r="R19" s="17">
        <v>0</v>
      </c>
      <c r="S19" s="19">
        <v>11.7</v>
      </c>
      <c r="T19" s="19">
        <v>21.4</v>
      </c>
    </row>
    <row r="20" spans="1:20" x14ac:dyDescent="0.2">
      <c r="A20" t="s">
        <v>56</v>
      </c>
      <c r="B20" t="s">
        <v>57</v>
      </c>
      <c r="C20" t="s">
        <v>643</v>
      </c>
      <c r="D20" s="19">
        <v>403033</v>
      </c>
      <c r="E20" s="21">
        <v>73.19</v>
      </c>
      <c r="F20" s="19">
        <v>37464.412949999998</v>
      </c>
      <c r="G20" s="19">
        <v>10010</v>
      </c>
      <c r="L20" s="19">
        <v>1292</v>
      </c>
      <c r="M20" s="19">
        <v>4.75</v>
      </c>
      <c r="N20" s="17">
        <v>0</v>
      </c>
      <c r="O20" s="19">
        <v>5</v>
      </c>
      <c r="P20" s="19">
        <v>60</v>
      </c>
      <c r="Q20" s="19">
        <v>9</v>
      </c>
      <c r="R20" s="19">
        <v>28</v>
      </c>
      <c r="S20" s="19">
        <v>34.6</v>
      </c>
      <c r="T20" s="19">
        <v>7.7</v>
      </c>
    </row>
    <row r="21" spans="1:20" x14ac:dyDescent="0.2">
      <c r="A21" t="s">
        <v>59</v>
      </c>
      <c r="B21" t="s">
        <v>60</v>
      </c>
      <c r="C21" t="s">
        <v>642</v>
      </c>
      <c r="D21" s="19">
        <v>3140095</v>
      </c>
      <c r="E21" s="21">
        <v>78.2</v>
      </c>
      <c r="F21" s="19">
        <v>21620.748360000001</v>
      </c>
      <c r="G21" s="19">
        <v>51200</v>
      </c>
      <c r="K21" s="19">
        <v>690100</v>
      </c>
      <c r="L21" s="19">
        <v>1028</v>
      </c>
      <c r="M21" s="19">
        <v>6.452</v>
      </c>
      <c r="N21" s="19">
        <v>2000</v>
      </c>
      <c r="O21" s="19">
        <v>5</v>
      </c>
      <c r="P21" s="19">
        <v>51</v>
      </c>
      <c r="Q21" s="19">
        <v>9</v>
      </c>
      <c r="R21" s="19">
        <v>5</v>
      </c>
      <c r="S21" s="19">
        <v>9.5</v>
      </c>
      <c r="T21" s="17">
        <v>0</v>
      </c>
    </row>
    <row r="22" spans="1:20" x14ac:dyDescent="0.2">
      <c r="A22" t="s">
        <v>62</v>
      </c>
      <c r="B22" t="s">
        <v>63</v>
      </c>
      <c r="C22" t="s">
        <v>642</v>
      </c>
      <c r="D22" s="19">
        <v>8997603</v>
      </c>
      <c r="E22" s="21">
        <v>75.099999999999994</v>
      </c>
      <c r="F22" s="19">
        <v>28456.778559999999</v>
      </c>
      <c r="G22" s="19">
        <v>202983</v>
      </c>
      <c r="H22" s="19">
        <v>30.41</v>
      </c>
      <c r="I22" s="19">
        <v>27.228000000000002</v>
      </c>
      <c r="J22" s="19">
        <v>1.4139999999999999</v>
      </c>
      <c r="K22" s="19">
        <v>3869</v>
      </c>
      <c r="L22" s="19">
        <v>618</v>
      </c>
      <c r="M22" s="19">
        <v>6.3220000000000001</v>
      </c>
      <c r="N22" s="19">
        <v>400000</v>
      </c>
      <c r="O22" s="19">
        <v>4</v>
      </c>
      <c r="P22" s="19">
        <v>3</v>
      </c>
      <c r="Q22" s="19">
        <v>11</v>
      </c>
      <c r="R22" s="19">
        <v>2</v>
      </c>
      <c r="S22" s="19">
        <v>9.1999999999999993</v>
      </c>
    </row>
    <row r="23" spans="1:20" x14ac:dyDescent="0.2">
      <c r="A23" t="s">
        <v>65</v>
      </c>
      <c r="B23" t="s">
        <v>66</v>
      </c>
      <c r="C23" t="s">
        <v>643</v>
      </c>
      <c r="D23" s="19">
        <v>422924</v>
      </c>
      <c r="E23" s="21">
        <v>75.709999999999994</v>
      </c>
      <c r="F23" s="19">
        <v>13847.694310000001</v>
      </c>
      <c r="G23" s="19">
        <v>22810</v>
      </c>
      <c r="H23" s="19">
        <v>20.99</v>
      </c>
      <c r="I23" s="19">
        <v>67.722999999999999</v>
      </c>
      <c r="J23" s="19">
        <v>0.10100000000000001</v>
      </c>
      <c r="L23" s="19">
        <v>1705</v>
      </c>
      <c r="M23" s="19">
        <v>1.516</v>
      </c>
      <c r="N23" s="19">
        <v>599000</v>
      </c>
      <c r="O23" s="19">
        <v>10</v>
      </c>
      <c r="P23" s="19">
        <v>69</v>
      </c>
      <c r="Q23" s="19">
        <v>8</v>
      </c>
      <c r="R23" s="19">
        <v>84</v>
      </c>
      <c r="S23" s="19">
        <v>37.299999999999997</v>
      </c>
      <c r="T23" s="19">
        <v>20.399999999999999</v>
      </c>
    </row>
    <row r="24" spans="1:20" x14ac:dyDescent="0.2">
      <c r="A24" t="s">
        <v>68</v>
      </c>
      <c r="B24" t="s">
        <v>69</v>
      </c>
      <c r="C24" t="s">
        <v>643</v>
      </c>
      <c r="D24" s="19">
        <v>12581843</v>
      </c>
      <c r="E24" s="21">
        <v>72.42</v>
      </c>
      <c r="F24" s="19">
        <v>10089.625899999999</v>
      </c>
      <c r="G24" s="19">
        <v>1083300</v>
      </c>
      <c r="H24" s="19">
        <v>1.4513</v>
      </c>
      <c r="I24" s="19">
        <v>87.078000000000003</v>
      </c>
      <c r="J24" s="19">
        <v>2.2048999999999999</v>
      </c>
      <c r="K24" s="19">
        <v>187600</v>
      </c>
      <c r="L24" s="19">
        <v>1146</v>
      </c>
      <c r="M24" s="19">
        <v>1.988</v>
      </c>
      <c r="N24" s="19">
        <v>36164000</v>
      </c>
      <c r="O24" s="19">
        <v>24</v>
      </c>
      <c r="P24" s="19">
        <v>9</v>
      </c>
      <c r="Q24" s="19">
        <v>47</v>
      </c>
      <c r="R24" s="19">
        <v>298</v>
      </c>
      <c r="S24" s="19">
        <v>30.9</v>
      </c>
    </row>
    <row r="25" spans="1:20" x14ac:dyDescent="0.2">
      <c r="A25" t="s">
        <v>71</v>
      </c>
      <c r="B25" t="s">
        <v>72</v>
      </c>
      <c r="C25" t="s">
        <v>643</v>
      </c>
      <c r="D25" s="19">
        <v>212812405</v>
      </c>
      <c r="E25" s="21">
        <v>77.510000000000005</v>
      </c>
      <c r="F25" s="19">
        <v>20500.231680000001</v>
      </c>
      <c r="G25" s="19">
        <v>8358140</v>
      </c>
      <c r="H25" s="19">
        <v>15.013</v>
      </c>
      <c r="I25" s="19">
        <v>60.841999999999999</v>
      </c>
      <c r="J25" s="19">
        <v>67.94</v>
      </c>
      <c r="K25" s="19">
        <v>34680000</v>
      </c>
      <c r="L25" s="19">
        <v>1761</v>
      </c>
      <c r="M25" s="19">
        <v>2.109</v>
      </c>
      <c r="N25" s="19">
        <v>202691000</v>
      </c>
      <c r="O25" s="19">
        <v>97</v>
      </c>
      <c r="P25" s="19">
        <v>360</v>
      </c>
      <c r="Q25" s="19">
        <v>155</v>
      </c>
      <c r="R25" s="19">
        <v>1346</v>
      </c>
      <c r="S25" s="19">
        <v>30.6</v>
      </c>
      <c r="T25" s="19">
        <v>26.6</v>
      </c>
    </row>
    <row r="26" spans="1:20" x14ac:dyDescent="0.2">
      <c r="A26" t="s">
        <v>74</v>
      </c>
      <c r="B26" t="s">
        <v>75</v>
      </c>
      <c r="C26" t="s">
        <v>643</v>
      </c>
      <c r="D26" s="19">
        <v>282623</v>
      </c>
      <c r="E26" s="21">
        <v>77.099999999999994</v>
      </c>
      <c r="F26" s="19">
        <v>21036.462889999999</v>
      </c>
      <c r="G26" s="19">
        <v>430</v>
      </c>
      <c r="H26" s="19">
        <v>7.6543000000000001</v>
      </c>
      <c r="I26" s="19">
        <v>67.653999999999996</v>
      </c>
      <c r="J26" s="19">
        <v>8.1000000000000003E-2</v>
      </c>
      <c r="L26" s="19">
        <v>1422</v>
      </c>
      <c r="M26" s="19">
        <v>4.5220000000000002</v>
      </c>
      <c r="N26" s="19">
        <v>3</v>
      </c>
      <c r="O26" s="19">
        <v>3</v>
      </c>
      <c r="P26" s="19">
        <v>48</v>
      </c>
      <c r="Q26" s="19">
        <v>3</v>
      </c>
      <c r="R26" s="19">
        <v>4</v>
      </c>
      <c r="S26" s="19">
        <v>1.1000000000000001</v>
      </c>
      <c r="T26" s="17">
        <v>0</v>
      </c>
    </row>
    <row r="27" spans="1:20" x14ac:dyDescent="0.2">
      <c r="A27" t="s">
        <v>77</v>
      </c>
      <c r="B27" t="s">
        <v>78</v>
      </c>
      <c r="C27" t="s">
        <v>640</v>
      </c>
      <c r="D27" s="19">
        <v>466330</v>
      </c>
      <c r="E27" s="21">
        <v>78.62</v>
      </c>
      <c r="F27" s="19">
        <v>82692.816260000007</v>
      </c>
      <c r="G27" s="19">
        <v>5270</v>
      </c>
      <c r="I27" s="19">
        <v>5.7609000000000004</v>
      </c>
      <c r="J27" s="19">
        <v>9.1999999999999998E-2</v>
      </c>
      <c r="L27" s="19">
        <v>2722</v>
      </c>
      <c r="M27" s="19">
        <v>24.477</v>
      </c>
      <c r="N27" s="19">
        <v>263000</v>
      </c>
      <c r="O27" s="19">
        <v>37</v>
      </c>
      <c r="P27" s="19">
        <v>61</v>
      </c>
      <c r="Q27" s="19">
        <v>39</v>
      </c>
      <c r="R27" s="19">
        <v>182</v>
      </c>
      <c r="S27" s="19">
        <v>39.9</v>
      </c>
      <c r="T27" s="17">
        <v>0</v>
      </c>
    </row>
    <row r="28" spans="1:20" x14ac:dyDescent="0.2">
      <c r="A28" t="s">
        <v>80</v>
      </c>
      <c r="B28" t="s">
        <v>81</v>
      </c>
      <c r="C28" t="s">
        <v>640</v>
      </c>
      <c r="D28" s="19">
        <v>796682</v>
      </c>
      <c r="E28" s="21">
        <v>73.400000000000006</v>
      </c>
      <c r="F28" s="19">
        <v>16920.957600000002</v>
      </c>
      <c r="G28" s="19">
        <v>38140</v>
      </c>
      <c r="H28" s="19">
        <v>0.88756999999999997</v>
      </c>
      <c r="I28" s="19">
        <v>94.082999999999998</v>
      </c>
      <c r="J28" s="19">
        <v>0.33800000000000002</v>
      </c>
      <c r="L28" s="19">
        <v>2200</v>
      </c>
      <c r="M28" s="19">
        <v>1.802</v>
      </c>
      <c r="N28" s="19">
        <v>413000</v>
      </c>
      <c r="O28" s="19">
        <v>28</v>
      </c>
      <c r="P28" s="19">
        <v>5</v>
      </c>
      <c r="Q28" s="19">
        <v>19</v>
      </c>
      <c r="R28" s="19">
        <v>55</v>
      </c>
      <c r="S28" s="19">
        <v>51.6</v>
      </c>
    </row>
    <row r="29" spans="1:20" x14ac:dyDescent="0.2">
      <c r="A29" t="s">
        <v>83</v>
      </c>
      <c r="B29" t="s">
        <v>84</v>
      </c>
      <c r="C29" t="s">
        <v>641</v>
      </c>
      <c r="D29" s="19">
        <v>2562122</v>
      </c>
      <c r="E29" s="21">
        <v>70.510000000000005</v>
      </c>
      <c r="F29" s="19">
        <v>18189.033009999999</v>
      </c>
      <c r="G29" s="19">
        <v>566730</v>
      </c>
      <c r="H29" s="19">
        <v>11.391</v>
      </c>
      <c r="I29" s="19">
        <v>27.972999999999999</v>
      </c>
      <c r="J29" s="19">
        <v>0.21328</v>
      </c>
      <c r="L29" s="19">
        <v>416</v>
      </c>
      <c r="M29" s="19">
        <v>5.1040000000000001</v>
      </c>
      <c r="N29" s="17">
        <v>0</v>
      </c>
      <c r="O29" s="19">
        <v>11</v>
      </c>
      <c r="P29" s="19">
        <v>2</v>
      </c>
      <c r="Q29" s="19">
        <v>18</v>
      </c>
      <c r="R29" s="19">
        <v>3</v>
      </c>
      <c r="S29" s="19">
        <v>27.6</v>
      </c>
    </row>
    <row r="30" spans="1:20" x14ac:dyDescent="0.2">
      <c r="A30" t="s">
        <v>86</v>
      </c>
      <c r="B30" t="s">
        <v>87</v>
      </c>
      <c r="C30" t="s">
        <v>641</v>
      </c>
      <c r="D30" s="19">
        <v>5513282</v>
      </c>
      <c r="E30" s="21">
        <v>55.77</v>
      </c>
      <c r="F30" s="19">
        <v>1135.8038899999999</v>
      </c>
      <c r="G30" s="19">
        <v>622980</v>
      </c>
      <c r="H30" s="19">
        <v>16.552</v>
      </c>
      <c r="I30" s="19">
        <v>0.55171999999999999</v>
      </c>
      <c r="J30" s="19">
        <v>7.2499999999999995E-2</v>
      </c>
      <c r="L30" s="19">
        <v>1343</v>
      </c>
      <c r="M30" s="19">
        <v>7.0999999999999994E-2</v>
      </c>
      <c r="N30" s="19">
        <v>1988000</v>
      </c>
      <c r="O30" s="19">
        <v>20</v>
      </c>
      <c r="P30" s="19">
        <v>3</v>
      </c>
      <c r="Q30" s="19">
        <v>18</v>
      </c>
      <c r="R30" s="19">
        <v>50</v>
      </c>
      <c r="S30" s="19">
        <v>14.8</v>
      </c>
    </row>
    <row r="31" spans="1:20" x14ac:dyDescent="0.2">
      <c r="A31" t="s">
        <v>89</v>
      </c>
      <c r="B31" t="s">
        <v>90</v>
      </c>
      <c r="C31" t="s">
        <v>643</v>
      </c>
      <c r="D31" s="19">
        <v>40126723</v>
      </c>
      <c r="E31" s="21">
        <v>82.4</v>
      </c>
      <c r="F31" s="19">
        <v>58422.425049999998</v>
      </c>
      <c r="G31" s="19">
        <v>8788700</v>
      </c>
      <c r="H31" s="19">
        <v>75.813000000000002</v>
      </c>
      <c r="I31" s="19">
        <v>10.694000000000001</v>
      </c>
      <c r="J31" s="19">
        <v>36.085000000000001</v>
      </c>
      <c r="K31" s="19">
        <v>30220000</v>
      </c>
      <c r="L31" s="19">
        <v>537</v>
      </c>
      <c r="M31" s="19">
        <v>13.173</v>
      </c>
      <c r="N31" s="19">
        <v>205924000</v>
      </c>
      <c r="O31" s="19">
        <v>18</v>
      </c>
      <c r="P31" s="19">
        <v>51</v>
      </c>
      <c r="Q31" s="19">
        <v>22</v>
      </c>
      <c r="R31" s="19">
        <v>21</v>
      </c>
      <c r="S31" s="19">
        <v>12.9</v>
      </c>
      <c r="T31" s="19">
        <v>9.1999999999999993</v>
      </c>
    </row>
    <row r="32" spans="1:20" x14ac:dyDescent="0.2">
      <c r="A32" t="s">
        <v>92</v>
      </c>
      <c r="B32" t="s">
        <v>93</v>
      </c>
      <c r="C32" t="s">
        <v>642</v>
      </c>
      <c r="D32" s="19">
        <v>8967407</v>
      </c>
      <c r="E32" s="21">
        <v>84.8</v>
      </c>
      <c r="F32" s="19">
        <v>84310.931100000002</v>
      </c>
      <c r="G32" s="19">
        <v>39509.629999999997</v>
      </c>
      <c r="H32" s="19">
        <v>37.090000000000003</v>
      </c>
      <c r="I32" s="19">
        <v>9.2393999999999998</v>
      </c>
      <c r="J32" s="19">
        <v>1.7327999999999999</v>
      </c>
      <c r="K32" s="19">
        <v>3101000</v>
      </c>
      <c r="L32" s="19">
        <v>1537</v>
      </c>
      <c r="M32" s="19">
        <v>11.644</v>
      </c>
      <c r="N32" s="19">
        <v>40000</v>
      </c>
      <c r="O32" s="19">
        <v>5</v>
      </c>
      <c r="P32" s="19">
        <v>9</v>
      </c>
      <c r="Q32" s="19">
        <v>10</v>
      </c>
      <c r="R32" s="19">
        <v>20</v>
      </c>
      <c r="S32" s="19">
        <v>12.5</v>
      </c>
    </row>
    <row r="33" spans="1:20" x14ac:dyDescent="0.2">
      <c r="A33" t="s">
        <v>95</v>
      </c>
      <c r="B33" t="s">
        <v>96</v>
      </c>
      <c r="C33" t="s">
        <v>643</v>
      </c>
      <c r="D33" s="19">
        <v>19859921</v>
      </c>
      <c r="E33" s="21">
        <v>81.3</v>
      </c>
      <c r="F33" s="19">
        <v>31425.369579999999</v>
      </c>
      <c r="G33" s="19">
        <v>742831.64</v>
      </c>
      <c r="H33" s="19">
        <v>5.1281999999999996</v>
      </c>
      <c r="I33" s="19">
        <v>90.887</v>
      </c>
      <c r="J33" s="19">
        <v>32.369999999999997</v>
      </c>
      <c r="K33" s="19">
        <v>1867000</v>
      </c>
      <c r="L33" s="19">
        <v>1522</v>
      </c>
      <c r="M33" s="19">
        <v>4.5439999999999996</v>
      </c>
      <c r="N33" s="19">
        <v>5355000</v>
      </c>
      <c r="O33" s="19">
        <v>18</v>
      </c>
      <c r="P33" s="19">
        <v>41</v>
      </c>
      <c r="Q33" s="19">
        <v>34</v>
      </c>
      <c r="R33" s="19">
        <v>91</v>
      </c>
      <c r="S33" s="19">
        <v>21.6</v>
      </c>
      <c r="T33" s="19">
        <v>41.2</v>
      </c>
    </row>
    <row r="34" spans="1:20" x14ac:dyDescent="0.2">
      <c r="A34" t="s">
        <v>98</v>
      </c>
      <c r="B34" t="s">
        <v>99</v>
      </c>
      <c r="C34" t="s">
        <v>640</v>
      </c>
      <c r="D34" s="19">
        <v>1416096094</v>
      </c>
      <c r="E34" s="21">
        <v>81.13</v>
      </c>
      <c r="F34" s="19">
        <v>25504.917150000001</v>
      </c>
      <c r="G34" s="19">
        <v>9388210</v>
      </c>
      <c r="H34" s="19">
        <v>17.725999999999999</v>
      </c>
      <c r="I34" s="19">
        <v>62.145000000000003</v>
      </c>
      <c r="J34" s="19">
        <v>581.29</v>
      </c>
      <c r="K34" s="19">
        <v>62100000</v>
      </c>
      <c r="L34" s="19">
        <v>645</v>
      </c>
      <c r="M34" s="19">
        <v>7.3789999999999996</v>
      </c>
      <c r="N34" s="19">
        <v>11632000</v>
      </c>
      <c r="O34" s="19">
        <v>78</v>
      </c>
      <c r="P34" s="19">
        <v>207</v>
      </c>
      <c r="Q34" s="19">
        <v>94</v>
      </c>
      <c r="R34" s="19">
        <v>713</v>
      </c>
      <c r="S34" s="19">
        <v>15.6</v>
      </c>
      <c r="T34" s="19">
        <v>4.8</v>
      </c>
    </row>
    <row r="35" spans="1:20" x14ac:dyDescent="0.2">
      <c r="A35" t="s">
        <v>101</v>
      </c>
      <c r="B35" t="s">
        <v>102</v>
      </c>
      <c r="C35" t="s">
        <v>641</v>
      </c>
      <c r="D35" s="19">
        <v>32711547</v>
      </c>
      <c r="E35" s="21">
        <v>64.819999999999993</v>
      </c>
      <c r="F35" s="19">
        <v>7143.2159000000001</v>
      </c>
      <c r="G35" s="19">
        <v>318000</v>
      </c>
      <c r="H35" s="19">
        <v>20.826000000000001</v>
      </c>
      <c r="I35" s="19">
        <v>51.634999999999998</v>
      </c>
      <c r="J35" s="19">
        <v>1.1619999999999999</v>
      </c>
      <c r="K35" s="19">
        <v>139100</v>
      </c>
      <c r="L35" s="19">
        <v>1348</v>
      </c>
      <c r="M35" s="19">
        <v>0.59599999999999997</v>
      </c>
      <c r="N35" s="19">
        <v>625000</v>
      </c>
      <c r="O35" s="19">
        <v>34</v>
      </c>
      <c r="P35" s="19">
        <v>89</v>
      </c>
      <c r="Q35" s="19">
        <v>26</v>
      </c>
      <c r="R35" s="19">
        <v>159</v>
      </c>
      <c r="S35" s="19">
        <v>22.9</v>
      </c>
      <c r="T35" s="19">
        <v>0.2</v>
      </c>
    </row>
    <row r="36" spans="1:20" x14ac:dyDescent="0.2">
      <c r="A36" t="s">
        <v>104</v>
      </c>
      <c r="B36" t="s">
        <v>105</v>
      </c>
      <c r="C36" t="s">
        <v>641</v>
      </c>
      <c r="D36" s="19">
        <v>29879337</v>
      </c>
      <c r="E36" s="21">
        <v>62.78</v>
      </c>
      <c r="F36" s="19">
        <v>5107.2325300000002</v>
      </c>
      <c r="G36" s="19">
        <v>472710</v>
      </c>
      <c r="H36" s="19">
        <v>9.6104000000000003</v>
      </c>
      <c r="I36" s="19">
        <v>67.713999999999999</v>
      </c>
      <c r="J36" s="19">
        <v>1.0884</v>
      </c>
      <c r="K36" s="19">
        <v>366300</v>
      </c>
      <c r="L36" s="19">
        <v>1604</v>
      </c>
      <c r="M36" s="19">
        <v>0.40799999999999997</v>
      </c>
      <c r="N36" s="17">
        <v>0</v>
      </c>
      <c r="O36" s="19">
        <v>48</v>
      </c>
      <c r="P36" s="19">
        <v>148</v>
      </c>
      <c r="Q36" s="19">
        <v>31</v>
      </c>
      <c r="R36" s="19">
        <v>888</v>
      </c>
      <c r="S36" s="19">
        <v>11</v>
      </c>
      <c r="T36" s="19">
        <v>11.4</v>
      </c>
    </row>
    <row r="37" spans="1:20" x14ac:dyDescent="0.2">
      <c r="A37" t="s">
        <v>107</v>
      </c>
      <c r="B37" t="s">
        <v>108</v>
      </c>
      <c r="C37" t="s">
        <v>641</v>
      </c>
      <c r="D37" s="19">
        <v>112832473</v>
      </c>
      <c r="E37" s="21">
        <v>61.8</v>
      </c>
      <c r="F37" s="19">
        <v>1565.63762</v>
      </c>
      <c r="G37" s="19">
        <v>2267050</v>
      </c>
      <c r="H37" s="19">
        <v>21.475000000000001</v>
      </c>
      <c r="I37" s="19">
        <v>10.518000000000001</v>
      </c>
      <c r="J37" s="19">
        <v>0.68359999999999999</v>
      </c>
      <c r="K37" s="19">
        <v>674900</v>
      </c>
      <c r="L37" s="19">
        <v>1543</v>
      </c>
      <c r="M37" s="19">
        <v>2.5999999999999999E-2</v>
      </c>
      <c r="N37" s="19">
        <v>102686000</v>
      </c>
      <c r="O37" s="19">
        <v>48</v>
      </c>
      <c r="P37" s="19">
        <v>128</v>
      </c>
      <c r="Q37" s="19">
        <v>40</v>
      </c>
      <c r="R37" s="19">
        <v>440</v>
      </c>
      <c r="S37" s="19">
        <v>14.9</v>
      </c>
      <c r="T37" s="19">
        <v>0.5</v>
      </c>
    </row>
    <row r="38" spans="1:20" x14ac:dyDescent="0.2">
      <c r="A38" t="s">
        <v>110</v>
      </c>
      <c r="B38" t="s">
        <v>111</v>
      </c>
      <c r="C38" t="s">
        <v>641</v>
      </c>
      <c r="D38" s="19">
        <v>6484437</v>
      </c>
      <c r="E38" s="21">
        <v>64.28</v>
      </c>
      <c r="F38" s="19">
        <v>6377.2060300000003</v>
      </c>
      <c r="G38" s="19">
        <v>341500</v>
      </c>
      <c r="H38" s="19">
        <v>26.172000000000001</v>
      </c>
      <c r="I38" s="19">
        <v>4.3620999999999999</v>
      </c>
      <c r="J38" s="19">
        <v>9.1700000000000004E-2</v>
      </c>
      <c r="K38" s="19">
        <v>36970</v>
      </c>
      <c r="L38" s="19">
        <v>1646</v>
      </c>
      <c r="M38" s="19">
        <v>0.67400000000000004</v>
      </c>
      <c r="N38" s="19">
        <v>7407000</v>
      </c>
      <c r="O38" s="19">
        <v>18</v>
      </c>
      <c r="P38" s="19">
        <v>83</v>
      </c>
      <c r="Q38" s="19">
        <v>6</v>
      </c>
      <c r="R38" s="19">
        <v>111</v>
      </c>
      <c r="S38" s="19">
        <v>36.6</v>
      </c>
      <c r="T38" s="19">
        <v>14.1</v>
      </c>
    </row>
    <row r="39" spans="1:20" x14ac:dyDescent="0.2">
      <c r="A39" t="s">
        <v>113</v>
      </c>
      <c r="B39" t="s">
        <v>114</v>
      </c>
      <c r="C39" t="s">
        <v>643</v>
      </c>
      <c r="D39" s="19">
        <v>53425635</v>
      </c>
      <c r="E39" s="21">
        <v>80.72</v>
      </c>
      <c r="F39" s="19">
        <v>19301.993439999998</v>
      </c>
      <c r="G39" s="19">
        <v>1109500</v>
      </c>
      <c r="H39" s="19">
        <v>4.1490999999999998</v>
      </c>
      <c r="I39" s="19">
        <v>82.174000000000007</v>
      </c>
      <c r="J39" s="19">
        <v>24.898</v>
      </c>
      <c r="K39" s="19">
        <v>3474000</v>
      </c>
      <c r="L39" s="19">
        <v>3240</v>
      </c>
      <c r="M39" s="19">
        <v>2.3889999999999998</v>
      </c>
      <c r="N39" s="17">
        <v>0</v>
      </c>
      <c r="O39" s="19">
        <v>63</v>
      </c>
      <c r="P39" s="19">
        <v>183</v>
      </c>
      <c r="Q39" s="19">
        <v>102</v>
      </c>
      <c r="R39" s="19">
        <v>918</v>
      </c>
      <c r="S39" s="19">
        <v>17.2</v>
      </c>
      <c r="T39" s="19">
        <v>41.1</v>
      </c>
    </row>
    <row r="40" spans="1:20" x14ac:dyDescent="0.2">
      <c r="A40" t="s">
        <v>116</v>
      </c>
      <c r="B40" t="s">
        <v>117</v>
      </c>
      <c r="C40" t="s">
        <v>641</v>
      </c>
      <c r="D40" s="19">
        <v>882847</v>
      </c>
      <c r="E40" s="21">
        <v>77.099999999999994</v>
      </c>
      <c r="F40" s="19">
        <v>3717.61456</v>
      </c>
      <c r="G40" s="19">
        <v>1861</v>
      </c>
      <c r="H40" s="19">
        <v>5</v>
      </c>
      <c r="I40" s="19">
        <v>47</v>
      </c>
      <c r="J40" s="19">
        <v>0.01</v>
      </c>
      <c r="L40" s="19">
        <v>900</v>
      </c>
      <c r="M40" s="19">
        <v>0.28699999999999998</v>
      </c>
      <c r="N40" s="19">
        <v>8000</v>
      </c>
      <c r="O40" s="19">
        <v>6</v>
      </c>
      <c r="P40" s="19">
        <v>24</v>
      </c>
      <c r="Q40" s="19">
        <v>13</v>
      </c>
      <c r="R40" s="19">
        <v>15</v>
      </c>
      <c r="S40" s="19">
        <v>33.700000000000003</v>
      </c>
      <c r="T40" s="19">
        <v>0.4</v>
      </c>
    </row>
    <row r="41" spans="1:20" x14ac:dyDescent="0.2">
      <c r="A41" t="s">
        <v>119</v>
      </c>
      <c r="B41" t="s">
        <v>120</v>
      </c>
      <c r="C41" t="s">
        <v>641</v>
      </c>
      <c r="D41" s="19">
        <v>527326</v>
      </c>
      <c r="E41" s="21">
        <v>76.2</v>
      </c>
      <c r="F41" s="19">
        <v>10625.351839999999</v>
      </c>
      <c r="G41" s="19">
        <v>4030</v>
      </c>
      <c r="H41" s="19">
        <v>2.1206</v>
      </c>
      <c r="I41" s="19">
        <v>38.99</v>
      </c>
      <c r="J41" s="19">
        <v>0.26473000000000002</v>
      </c>
      <c r="L41" s="19">
        <v>228</v>
      </c>
      <c r="M41" s="19">
        <v>1.2629999999999999</v>
      </c>
      <c r="N41" s="17">
        <v>0</v>
      </c>
      <c r="O41" s="19">
        <v>4</v>
      </c>
      <c r="P41" s="19">
        <v>47</v>
      </c>
      <c r="Q41" s="19">
        <v>7</v>
      </c>
      <c r="R41" s="19">
        <v>51</v>
      </c>
      <c r="S41" s="19">
        <v>17.600000000000001</v>
      </c>
      <c r="T41" s="19">
        <v>0.1</v>
      </c>
    </row>
    <row r="42" spans="1:20" x14ac:dyDescent="0.2">
      <c r="A42" t="s">
        <v>122</v>
      </c>
      <c r="B42" t="s">
        <v>123</v>
      </c>
      <c r="C42" t="s">
        <v>643</v>
      </c>
      <c r="D42" s="19">
        <v>5152950</v>
      </c>
      <c r="E42" s="21">
        <v>79.989999999999995</v>
      </c>
      <c r="F42" s="19">
        <v>28390.399880000001</v>
      </c>
      <c r="G42" s="19">
        <v>51060</v>
      </c>
      <c r="H42" s="19">
        <v>7.1177999999999999</v>
      </c>
      <c r="I42" s="19">
        <v>60.719000000000001</v>
      </c>
      <c r="J42" s="19">
        <v>3.4468000000000001</v>
      </c>
      <c r="K42" s="19">
        <v>624500</v>
      </c>
      <c r="L42" s="19">
        <v>2926</v>
      </c>
      <c r="M42" s="19">
        <v>2.383</v>
      </c>
      <c r="N42" s="19">
        <v>1814400</v>
      </c>
      <c r="O42" s="19">
        <v>12</v>
      </c>
      <c r="P42" s="19">
        <v>144</v>
      </c>
      <c r="Q42" s="19">
        <v>25</v>
      </c>
      <c r="R42" s="19">
        <v>319</v>
      </c>
      <c r="S42" s="19">
        <v>26.6</v>
      </c>
      <c r="T42" s="19">
        <v>28.4</v>
      </c>
    </row>
    <row r="43" spans="1:20" x14ac:dyDescent="0.2">
      <c r="A43" t="s">
        <v>125</v>
      </c>
      <c r="B43" t="s">
        <v>126</v>
      </c>
      <c r="C43" t="s">
        <v>643</v>
      </c>
      <c r="D43" s="19">
        <v>10937203</v>
      </c>
      <c r="E43" s="21">
        <v>78.599999999999994</v>
      </c>
      <c r="F43" s="19">
        <v>15295.86616</v>
      </c>
      <c r="G43" s="19">
        <v>103800</v>
      </c>
      <c r="H43" s="19">
        <v>10.634</v>
      </c>
      <c r="I43" s="19">
        <v>64.936999999999998</v>
      </c>
      <c r="J43" s="19">
        <v>6.9589999999999996</v>
      </c>
      <c r="K43" s="19">
        <v>8340</v>
      </c>
      <c r="L43" s="19">
        <v>1335</v>
      </c>
      <c r="M43" s="19">
        <v>2.5510000000000002</v>
      </c>
      <c r="N43" s="17">
        <v>0</v>
      </c>
      <c r="O43" s="19">
        <v>10</v>
      </c>
      <c r="P43" s="19">
        <v>66</v>
      </c>
      <c r="Q43" s="19">
        <v>17</v>
      </c>
      <c r="R43" s="19">
        <v>192</v>
      </c>
      <c r="S43" s="19">
        <v>15.6</v>
      </c>
      <c r="T43" s="19">
        <v>4.2</v>
      </c>
    </row>
    <row r="44" spans="1:20" x14ac:dyDescent="0.2">
      <c r="A44" t="s">
        <v>128</v>
      </c>
      <c r="B44" t="s">
        <v>129</v>
      </c>
      <c r="C44" t="s">
        <v>642</v>
      </c>
      <c r="D44" s="19">
        <v>1370754</v>
      </c>
      <c r="E44" s="21">
        <v>81.09</v>
      </c>
      <c r="F44" s="19">
        <v>55720.003539999998</v>
      </c>
      <c r="G44" s="19">
        <v>9240</v>
      </c>
      <c r="H44" s="19">
        <v>5.8823999999999996</v>
      </c>
      <c r="I44" s="19">
        <v>61.246000000000002</v>
      </c>
      <c r="J44" s="19">
        <v>0.28899999999999998</v>
      </c>
      <c r="L44" s="19">
        <v>498</v>
      </c>
      <c r="M44" s="19">
        <v>5.6210000000000004</v>
      </c>
      <c r="N44" s="19">
        <v>13241</v>
      </c>
      <c r="O44" s="19">
        <v>7</v>
      </c>
      <c r="P44" s="19">
        <v>39</v>
      </c>
      <c r="Q44" s="19">
        <v>9</v>
      </c>
      <c r="R44" s="19">
        <v>23</v>
      </c>
      <c r="S44" s="19">
        <v>38.6</v>
      </c>
      <c r="T44" s="19">
        <v>8.6</v>
      </c>
    </row>
    <row r="45" spans="1:20" x14ac:dyDescent="0.2">
      <c r="A45" t="s">
        <v>131</v>
      </c>
      <c r="B45" t="s">
        <v>132</v>
      </c>
      <c r="C45" t="s">
        <v>642</v>
      </c>
      <c r="D45" s="19">
        <v>10609239</v>
      </c>
      <c r="E45" s="21">
        <v>80.400000000000006</v>
      </c>
      <c r="F45" s="19">
        <v>50179.533860000003</v>
      </c>
      <c r="G45" s="19">
        <v>77167.31</v>
      </c>
      <c r="H45" s="19">
        <v>53.664999999999999</v>
      </c>
      <c r="I45" s="19">
        <v>3.0428999999999999</v>
      </c>
      <c r="J45" s="19">
        <v>1.446</v>
      </c>
      <c r="K45" s="19">
        <v>239800</v>
      </c>
      <c r="L45" s="19">
        <v>677</v>
      </c>
      <c r="M45" s="19">
        <v>9.8350000000000009</v>
      </c>
      <c r="N45" s="19">
        <v>10000</v>
      </c>
      <c r="O45" s="19">
        <v>4</v>
      </c>
      <c r="P45" s="19">
        <v>2</v>
      </c>
      <c r="Q45" s="19">
        <v>10</v>
      </c>
      <c r="R45" s="19">
        <v>31</v>
      </c>
      <c r="S45" s="19">
        <v>21.9</v>
      </c>
    </row>
    <row r="46" spans="1:20" x14ac:dyDescent="0.2">
      <c r="A46" t="s">
        <v>134</v>
      </c>
      <c r="B46" t="s">
        <v>135</v>
      </c>
      <c r="C46" t="s">
        <v>642</v>
      </c>
      <c r="D46" s="19">
        <v>84075075</v>
      </c>
      <c r="E46" s="21">
        <v>81.400000000000006</v>
      </c>
      <c r="F46" s="19">
        <v>64355.007449999997</v>
      </c>
      <c r="G46" s="19">
        <v>349430</v>
      </c>
      <c r="H46" s="19">
        <v>54.3</v>
      </c>
      <c r="I46" s="19">
        <v>4.1665999999999999</v>
      </c>
      <c r="J46" s="19">
        <v>25.792999999999999</v>
      </c>
      <c r="K46" s="19">
        <v>1756000</v>
      </c>
      <c r="L46" s="19">
        <v>700</v>
      </c>
      <c r="M46" s="19">
        <v>9.3000000000000007</v>
      </c>
      <c r="N46" s="17">
        <v>0</v>
      </c>
      <c r="O46" s="19">
        <v>7</v>
      </c>
      <c r="P46" s="19">
        <v>34</v>
      </c>
      <c r="Q46" s="19">
        <v>12</v>
      </c>
      <c r="R46" s="19">
        <v>51</v>
      </c>
      <c r="S46" s="19">
        <v>39.200000000000003</v>
      </c>
      <c r="T46" s="19">
        <v>45.3</v>
      </c>
    </row>
    <row r="47" spans="1:20" x14ac:dyDescent="0.2">
      <c r="A47" t="s">
        <v>137</v>
      </c>
      <c r="B47" t="s">
        <v>138</v>
      </c>
      <c r="C47" t="s">
        <v>641</v>
      </c>
      <c r="D47" s="19">
        <v>1184076</v>
      </c>
      <c r="E47" s="21">
        <v>69.02</v>
      </c>
      <c r="F47" s="19">
        <v>7352.8752500000001</v>
      </c>
      <c r="G47" s="19">
        <v>23180</v>
      </c>
      <c r="H47" s="17">
        <v>0</v>
      </c>
      <c r="I47" s="19">
        <v>15.789</v>
      </c>
      <c r="J47" s="19">
        <v>1.9E-2</v>
      </c>
      <c r="L47" s="19">
        <v>220</v>
      </c>
      <c r="M47" s="19">
        <v>0.73399999999999999</v>
      </c>
      <c r="N47" s="17">
        <v>0</v>
      </c>
      <c r="O47" s="19">
        <v>11</v>
      </c>
      <c r="P47" s="19">
        <v>40</v>
      </c>
      <c r="Q47" s="19">
        <v>15</v>
      </c>
      <c r="R47" s="19">
        <v>3</v>
      </c>
      <c r="S47" s="19">
        <v>1.6</v>
      </c>
      <c r="T47" s="19">
        <v>0.2</v>
      </c>
    </row>
    <row r="48" spans="1:20" x14ac:dyDescent="0.2">
      <c r="A48" t="s">
        <v>140</v>
      </c>
      <c r="B48" t="s">
        <v>141</v>
      </c>
      <c r="C48" t="s">
        <v>643</v>
      </c>
      <c r="D48" s="19">
        <v>65871</v>
      </c>
      <c r="E48" s="21">
        <v>76.64</v>
      </c>
      <c r="F48" s="19">
        <v>19949.18463</v>
      </c>
      <c r="G48" s="19">
        <v>750</v>
      </c>
      <c r="H48" s="17">
        <v>0</v>
      </c>
      <c r="I48" s="19">
        <v>5</v>
      </c>
      <c r="J48" s="19">
        <v>0.02</v>
      </c>
      <c r="L48" s="19">
        <v>2083</v>
      </c>
      <c r="M48" s="19">
        <v>2.5739999999999998</v>
      </c>
      <c r="N48" s="19">
        <v>26300</v>
      </c>
      <c r="O48" s="19">
        <v>3</v>
      </c>
      <c r="P48" s="19">
        <v>50</v>
      </c>
      <c r="Q48" s="19">
        <v>6</v>
      </c>
      <c r="R48" s="19">
        <v>20</v>
      </c>
      <c r="S48" s="19">
        <v>21.4</v>
      </c>
      <c r="T48" s="19">
        <v>0.1</v>
      </c>
    </row>
    <row r="49" spans="1:20" x14ac:dyDescent="0.2">
      <c r="A49" t="s">
        <v>143</v>
      </c>
      <c r="B49" t="s">
        <v>144</v>
      </c>
      <c r="C49" t="s">
        <v>642</v>
      </c>
      <c r="D49" s="19">
        <v>6002507</v>
      </c>
      <c r="E49" s="21">
        <v>82</v>
      </c>
      <c r="F49" s="19">
        <v>77336.971789999996</v>
      </c>
      <c r="G49" s="19">
        <v>40000</v>
      </c>
      <c r="H49" s="19">
        <v>4.8243</v>
      </c>
      <c r="I49" s="19">
        <v>54.207000000000001</v>
      </c>
      <c r="J49" s="19">
        <v>0.93435000000000001</v>
      </c>
      <c r="K49" s="19">
        <v>1806</v>
      </c>
      <c r="L49" s="19">
        <v>703</v>
      </c>
      <c r="M49" s="19">
        <v>7.6849999999999996</v>
      </c>
      <c r="N49" s="19">
        <v>34000</v>
      </c>
      <c r="O49" s="19">
        <v>2</v>
      </c>
      <c r="P49" s="19">
        <v>26</v>
      </c>
      <c r="Q49" s="19">
        <v>10</v>
      </c>
      <c r="R49" s="19">
        <v>2</v>
      </c>
      <c r="S49" s="19">
        <v>16.399999999999999</v>
      </c>
      <c r="T49" s="19">
        <v>27.1</v>
      </c>
    </row>
    <row r="50" spans="1:20" x14ac:dyDescent="0.2">
      <c r="A50" t="s">
        <v>146</v>
      </c>
      <c r="B50" t="s">
        <v>147</v>
      </c>
      <c r="C50" t="s">
        <v>643</v>
      </c>
      <c r="D50" s="19">
        <v>11520487</v>
      </c>
      <c r="E50" s="21">
        <v>73.400000000000006</v>
      </c>
      <c r="F50" s="19">
        <v>25662.873879999999</v>
      </c>
      <c r="G50" s="19">
        <v>48198.02</v>
      </c>
      <c r="H50" s="19">
        <v>7.2693000000000003</v>
      </c>
      <c r="I50" s="19">
        <v>83.311999999999998</v>
      </c>
      <c r="J50" s="19">
        <v>9.0778999999999996</v>
      </c>
      <c r="K50" s="19">
        <v>154200</v>
      </c>
      <c r="L50" s="19">
        <v>1410</v>
      </c>
      <c r="M50" s="19">
        <v>3.1080000000000001</v>
      </c>
      <c r="N50" s="17">
        <v>0</v>
      </c>
      <c r="O50" s="19">
        <v>6</v>
      </c>
      <c r="P50" s="19">
        <v>47</v>
      </c>
      <c r="Q50" s="19">
        <v>17</v>
      </c>
      <c r="R50" s="19">
        <v>90</v>
      </c>
      <c r="S50" s="19">
        <v>26.3</v>
      </c>
      <c r="T50" s="19">
        <v>13.3</v>
      </c>
    </row>
    <row r="51" spans="1:20" x14ac:dyDescent="0.2">
      <c r="A51" t="s">
        <v>149</v>
      </c>
      <c r="B51" t="s">
        <v>150</v>
      </c>
      <c r="C51" t="s">
        <v>641</v>
      </c>
      <c r="D51" s="19">
        <v>47435312</v>
      </c>
      <c r="E51" s="21">
        <v>76.599999999999994</v>
      </c>
      <c r="F51" s="19">
        <v>16189.469849999999</v>
      </c>
      <c r="G51" s="19">
        <v>2381740</v>
      </c>
      <c r="H51" s="19">
        <v>1.6513</v>
      </c>
      <c r="I51" s="19">
        <v>67.430000000000007</v>
      </c>
      <c r="J51" s="19">
        <v>10.961</v>
      </c>
      <c r="K51" s="19">
        <v>14960</v>
      </c>
      <c r="L51" s="19">
        <v>89</v>
      </c>
      <c r="M51" s="19">
        <v>3.88</v>
      </c>
      <c r="N51" s="17">
        <v>0</v>
      </c>
      <c r="O51" s="19">
        <v>15</v>
      </c>
      <c r="P51" s="19">
        <v>65</v>
      </c>
      <c r="Q51" s="19">
        <v>20</v>
      </c>
      <c r="R51" s="19">
        <v>31</v>
      </c>
      <c r="S51" s="19">
        <v>4.7</v>
      </c>
      <c r="T51" s="19">
        <v>0.1</v>
      </c>
    </row>
    <row r="52" spans="1:20" x14ac:dyDescent="0.2">
      <c r="A52" t="s">
        <v>152</v>
      </c>
      <c r="B52" t="s">
        <v>153</v>
      </c>
      <c r="C52" t="s">
        <v>643</v>
      </c>
      <c r="D52" s="19">
        <v>18289896</v>
      </c>
      <c r="E52" s="21">
        <v>77.2</v>
      </c>
      <c r="F52" s="19">
        <v>14442.50999</v>
      </c>
      <c r="G52" s="19">
        <v>248360</v>
      </c>
      <c r="H52" s="19">
        <v>5.5354000000000001</v>
      </c>
      <c r="I52" s="19">
        <v>81.427999999999997</v>
      </c>
      <c r="J52" s="19">
        <v>9.9179999999999993</v>
      </c>
      <c r="K52" s="19">
        <v>742600</v>
      </c>
      <c r="L52" s="19">
        <v>2274</v>
      </c>
      <c r="M52" s="19">
        <v>2.7</v>
      </c>
      <c r="N52" s="19">
        <v>12467299</v>
      </c>
      <c r="O52" s="19">
        <v>49</v>
      </c>
      <c r="P52" s="19">
        <v>99</v>
      </c>
      <c r="Q52" s="19">
        <v>86</v>
      </c>
      <c r="R52" s="19">
        <v>2029</v>
      </c>
      <c r="S52" s="19">
        <v>23.8</v>
      </c>
      <c r="T52" s="19">
        <v>19.3</v>
      </c>
    </row>
    <row r="53" spans="1:20" x14ac:dyDescent="0.2">
      <c r="A53" t="s">
        <v>155</v>
      </c>
      <c r="B53" t="s">
        <v>156</v>
      </c>
      <c r="C53" t="s">
        <v>641</v>
      </c>
      <c r="D53" s="19">
        <v>118365995</v>
      </c>
      <c r="E53" s="21">
        <v>70.59</v>
      </c>
      <c r="F53" s="19">
        <v>17541.373970000001</v>
      </c>
      <c r="G53" s="19">
        <v>995450</v>
      </c>
      <c r="H53" s="19">
        <v>6.9676999999999998</v>
      </c>
      <c r="I53" s="19">
        <v>79.161000000000001</v>
      </c>
      <c r="J53" s="19">
        <v>77.5</v>
      </c>
      <c r="K53" s="19">
        <v>1122000</v>
      </c>
      <c r="L53" s="19">
        <v>18.100000000000001</v>
      </c>
      <c r="M53" s="19">
        <v>2.399</v>
      </c>
      <c r="N53" s="17">
        <v>0</v>
      </c>
      <c r="O53" s="19">
        <v>19</v>
      </c>
      <c r="P53" s="19">
        <v>89</v>
      </c>
      <c r="Q53" s="19">
        <v>17</v>
      </c>
      <c r="R53" s="19">
        <v>13</v>
      </c>
      <c r="S53" s="19">
        <v>13.1</v>
      </c>
      <c r="T53" s="19">
        <v>5.0999999999999996</v>
      </c>
    </row>
    <row r="54" spans="1:20" x14ac:dyDescent="0.2">
      <c r="A54" t="s">
        <v>158</v>
      </c>
      <c r="B54" t="s">
        <v>159</v>
      </c>
      <c r="C54" t="s">
        <v>641</v>
      </c>
      <c r="D54" s="19">
        <v>3607003</v>
      </c>
      <c r="E54" s="21">
        <v>63.63</v>
      </c>
      <c r="F54" s="19">
        <v>2441.6777299999999</v>
      </c>
      <c r="G54" s="19">
        <v>121178.2</v>
      </c>
      <c r="H54" s="19">
        <v>0.17182</v>
      </c>
      <c r="I54" s="19">
        <v>94.501999999999995</v>
      </c>
      <c r="J54" s="19">
        <v>0.58199999999999996</v>
      </c>
      <c r="L54" s="19">
        <v>384</v>
      </c>
      <c r="M54" s="19">
        <v>0.23400000000000001</v>
      </c>
      <c r="N54" s="17">
        <v>0</v>
      </c>
      <c r="O54" s="19">
        <v>16</v>
      </c>
      <c r="P54" s="19">
        <v>50</v>
      </c>
      <c r="Q54" s="19">
        <v>22</v>
      </c>
      <c r="R54" s="19">
        <v>7</v>
      </c>
      <c r="S54" s="17">
        <v>0</v>
      </c>
      <c r="T54" s="17">
        <v>0</v>
      </c>
    </row>
    <row r="55" spans="1:20" x14ac:dyDescent="0.2">
      <c r="A55" t="s">
        <v>161</v>
      </c>
      <c r="B55" t="s">
        <v>162</v>
      </c>
      <c r="C55" t="s">
        <v>642</v>
      </c>
      <c r="D55" s="19">
        <v>47889958</v>
      </c>
      <c r="E55" s="21">
        <v>83.6</v>
      </c>
      <c r="F55" s="19">
        <v>50242.027739999998</v>
      </c>
      <c r="G55" s="19">
        <v>499697.4</v>
      </c>
      <c r="H55" s="19">
        <v>18.952000000000002</v>
      </c>
      <c r="I55" s="19">
        <v>65.334000000000003</v>
      </c>
      <c r="J55" s="19">
        <v>29.02</v>
      </c>
      <c r="K55" s="19">
        <v>3635000</v>
      </c>
      <c r="L55" s="19">
        <v>636</v>
      </c>
      <c r="M55" s="19">
        <v>5.657</v>
      </c>
      <c r="N55" s="17">
        <v>0</v>
      </c>
      <c r="O55" s="19">
        <v>18</v>
      </c>
      <c r="P55" s="19">
        <v>98</v>
      </c>
      <c r="Q55" s="19">
        <v>24</v>
      </c>
      <c r="R55" s="19">
        <v>287</v>
      </c>
      <c r="S55" s="19">
        <v>28.1</v>
      </c>
      <c r="T55" s="19">
        <v>19</v>
      </c>
    </row>
    <row r="56" spans="1:20" x14ac:dyDescent="0.2">
      <c r="A56" t="s">
        <v>164</v>
      </c>
      <c r="B56" t="s">
        <v>165</v>
      </c>
      <c r="C56" t="s">
        <v>642</v>
      </c>
      <c r="D56" s="19">
        <v>1344232</v>
      </c>
      <c r="E56" s="21">
        <v>79.099999999999994</v>
      </c>
      <c r="F56" s="19">
        <v>42892.095439999997</v>
      </c>
      <c r="G56" s="19">
        <v>42730</v>
      </c>
      <c r="H56" s="19">
        <v>94.192999999999998</v>
      </c>
      <c r="I56" s="19">
        <v>0.41477999999999998</v>
      </c>
      <c r="J56" s="19">
        <v>1.2055</v>
      </c>
      <c r="K56" s="19">
        <v>2322</v>
      </c>
      <c r="L56" s="19">
        <v>626</v>
      </c>
      <c r="M56" s="19">
        <v>10.372999999999999</v>
      </c>
      <c r="N56" s="19">
        <v>58000</v>
      </c>
      <c r="O56" s="19">
        <v>1</v>
      </c>
      <c r="P56" s="19">
        <v>4</v>
      </c>
      <c r="Q56" s="19">
        <v>11</v>
      </c>
      <c r="R56" s="19">
        <v>2</v>
      </c>
      <c r="S56" s="19">
        <v>21.6</v>
      </c>
      <c r="T56" s="19">
        <v>19.2</v>
      </c>
    </row>
    <row r="57" spans="1:20" x14ac:dyDescent="0.2">
      <c r="A57" t="s">
        <v>167</v>
      </c>
      <c r="B57" t="s">
        <v>168</v>
      </c>
      <c r="C57" t="s">
        <v>641</v>
      </c>
      <c r="D57" s="19">
        <v>135472051</v>
      </c>
      <c r="E57" s="21">
        <v>65.47</v>
      </c>
      <c r="F57" s="19">
        <v>3106.9342200000001</v>
      </c>
      <c r="G57" s="19">
        <v>1128498.8</v>
      </c>
      <c r="H57" s="19">
        <v>0.48444999999999999</v>
      </c>
      <c r="I57" s="19">
        <v>91.835999999999999</v>
      </c>
      <c r="J57" s="19">
        <v>10.548</v>
      </c>
      <c r="K57" s="19">
        <v>424000</v>
      </c>
      <c r="L57" s="19">
        <v>848</v>
      </c>
      <c r="M57" s="19">
        <v>0.188</v>
      </c>
      <c r="N57" s="17">
        <v>0</v>
      </c>
      <c r="O57" s="19">
        <v>40</v>
      </c>
      <c r="P57" s="19">
        <v>16</v>
      </c>
      <c r="Q57" s="19">
        <v>35</v>
      </c>
      <c r="R57" s="19">
        <v>107</v>
      </c>
      <c r="S57" s="19">
        <v>17</v>
      </c>
    </row>
    <row r="58" spans="1:20" x14ac:dyDescent="0.2">
      <c r="A58" t="s">
        <v>170</v>
      </c>
      <c r="B58" t="s">
        <v>171</v>
      </c>
      <c r="C58" t="s">
        <v>642</v>
      </c>
      <c r="D58" s="19">
        <v>5623329</v>
      </c>
      <c r="E58" s="21">
        <v>82.2</v>
      </c>
      <c r="F58" s="19">
        <v>57574.236120000001</v>
      </c>
      <c r="G58" s="19">
        <v>303960</v>
      </c>
      <c r="H58" s="19">
        <v>46.411000000000001</v>
      </c>
      <c r="I58" s="19">
        <v>35.725999999999999</v>
      </c>
      <c r="J58" s="19">
        <v>2.7991000000000001</v>
      </c>
      <c r="K58" s="19">
        <v>1111000</v>
      </c>
      <c r="L58" s="19">
        <v>536</v>
      </c>
      <c r="M58" s="19">
        <v>8.7609999999999992</v>
      </c>
      <c r="N58" s="19">
        <v>230207</v>
      </c>
      <c r="O58" s="19">
        <v>2</v>
      </c>
      <c r="P58" s="19">
        <v>5</v>
      </c>
      <c r="Q58" s="19">
        <v>12</v>
      </c>
      <c r="R58" s="19">
        <v>4</v>
      </c>
      <c r="S58" s="19">
        <v>13.9</v>
      </c>
      <c r="T58" s="19">
        <v>11.8</v>
      </c>
    </row>
    <row r="59" spans="1:20" x14ac:dyDescent="0.2">
      <c r="A59" t="s">
        <v>173</v>
      </c>
      <c r="B59" t="s">
        <v>174</v>
      </c>
      <c r="C59" t="s">
        <v>640</v>
      </c>
      <c r="D59" s="19">
        <v>933154</v>
      </c>
      <c r="E59" s="21">
        <v>68.2</v>
      </c>
      <c r="F59" s="19">
        <v>14765.58232</v>
      </c>
      <c r="G59" s="19">
        <v>18270</v>
      </c>
      <c r="H59" s="19">
        <v>11.307</v>
      </c>
      <c r="I59" s="19">
        <v>58.893000000000001</v>
      </c>
      <c r="J59" s="19">
        <v>8.4900000000000003E-2</v>
      </c>
      <c r="L59" s="19">
        <v>2592</v>
      </c>
      <c r="M59" s="19">
        <v>2.6030000000000002</v>
      </c>
      <c r="N59" s="19">
        <v>411412</v>
      </c>
      <c r="O59" s="19">
        <v>7</v>
      </c>
      <c r="P59" s="19">
        <v>33</v>
      </c>
      <c r="Q59" s="19">
        <v>14</v>
      </c>
      <c r="R59" s="19">
        <v>95</v>
      </c>
      <c r="S59" s="19">
        <v>3.9</v>
      </c>
      <c r="T59" s="19">
        <v>0.9</v>
      </c>
    </row>
    <row r="60" spans="1:20" x14ac:dyDescent="0.2">
      <c r="A60" t="s">
        <v>176</v>
      </c>
      <c r="B60" t="s">
        <v>177</v>
      </c>
      <c r="C60" t="s">
        <v>642</v>
      </c>
      <c r="D60" s="19">
        <v>66650804</v>
      </c>
      <c r="E60" s="21">
        <v>83</v>
      </c>
      <c r="F60" s="19">
        <v>56112.812380000003</v>
      </c>
      <c r="G60" s="19">
        <v>538950</v>
      </c>
      <c r="H60" s="19">
        <v>68.125</v>
      </c>
      <c r="I60" s="19">
        <v>10.295999999999999</v>
      </c>
      <c r="J60" s="19">
        <v>24.428000000000001</v>
      </c>
      <c r="K60" s="19">
        <v>5332000</v>
      </c>
      <c r="L60" s="19">
        <v>867</v>
      </c>
      <c r="M60" s="19">
        <v>6.0730000000000004</v>
      </c>
      <c r="N60" s="17">
        <v>0</v>
      </c>
      <c r="O60" s="19">
        <v>13</v>
      </c>
      <c r="P60" s="19">
        <v>75</v>
      </c>
      <c r="Q60" s="19">
        <v>19</v>
      </c>
      <c r="R60" s="19">
        <v>65</v>
      </c>
      <c r="S60" s="19">
        <v>28.8</v>
      </c>
      <c r="T60" s="19">
        <v>49.2</v>
      </c>
    </row>
    <row r="61" spans="1:20" x14ac:dyDescent="0.2">
      <c r="A61" t="s">
        <v>179</v>
      </c>
      <c r="B61" t="s">
        <v>180</v>
      </c>
      <c r="C61" t="s">
        <v>640</v>
      </c>
      <c r="D61" s="19">
        <v>113683</v>
      </c>
      <c r="E61" s="21">
        <v>67.5</v>
      </c>
      <c r="F61" s="19">
        <v>3967.7626300000002</v>
      </c>
      <c r="G61" s="19">
        <v>700</v>
      </c>
      <c r="M61" s="19">
        <v>1.4490000000000001</v>
      </c>
      <c r="N61" s="19">
        <v>48367</v>
      </c>
      <c r="O61" s="19">
        <v>6</v>
      </c>
      <c r="P61" s="19">
        <v>32</v>
      </c>
      <c r="Q61" s="19">
        <v>13</v>
      </c>
      <c r="R61" s="19">
        <v>8</v>
      </c>
      <c r="S61" s="17">
        <v>0</v>
      </c>
      <c r="T61" s="17">
        <v>0</v>
      </c>
    </row>
    <row r="62" spans="1:20" x14ac:dyDescent="0.2">
      <c r="A62" t="s">
        <v>182</v>
      </c>
      <c r="B62" t="s">
        <v>183</v>
      </c>
      <c r="C62" t="s">
        <v>641</v>
      </c>
      <c r="D62" s="19">
        <v>2593130</v>
      </c>
      <c r="E62" s="21">
        <v>67.59</v>
      </c>
      <c r="F62" s="19">
        <v>19542.93836</v>
      </c>
      <c r="G62" s="19">
        <v>257670</v>
      </c>
      <c r="H62" s="19">
        <v>10.137</v>
      </c>
      <c r="I62" s="19">
        <v>28.972000000000001</v>
      </c>
      <c r="J62" s="19">
        <v>0.1391</v>
      </c>
      <c r="K62" s="19">
        <v>69560</v>
      </c>
      <c r="L62" s="19">
        <v>1831</v>
      </c>
      <c r="M62" s="19">
        <v>2.7639999999999998</v>
      </c>
      <c r="N62" s="19">
        <v>12804000</v>
      </c>
      <c r="O62" s="19">
        <v>18</v>
      </c>
      <c r="P62" s="19">
        <v>97</v>
      </c>
      <c r="Q62" s="19">
        <v>5</v>
      </c>
      <c r="R62" s="19">
        <v>468</v>
      </c>
      <c r="S62" s="19">
        <v>22.6</v>
      </c>
      <c r="T62" s="19">
        <v>26.8</v>
      </c>
    </row>
    <row r="63" spans="1:20" x14ac:dyDescent="0.2">
      <c r="A63" t="s">
        <v>185</v>
      </c>
      <c r="B63" t="s">
        <v>186</v>
      </c>
      <c r="C63" t="s">
        <v>642</v>
      </c>
      <c r="D63" s="19">
        <v>69551332</v>
      </c>
      <c r="E63" s="21">
        <v>81.5</v>
      </c>
      <c r="F63" s="19">
        <v>53993.248469999999</v>
      </c>
      <c r="G63" s="19">
        <v>241930</v>
      </c>
      <c r="H63" s="19">
        <v>11.994999999999999</v>
      </c>
      <c r="I63" s="19">
        <v>14.05</v>
      </c>
      <c r="J63" s="19">
        <v>8.42</v>
      </c>
      <c r="K63" s="19">
        <v>309900</v>
      </c>
      <c r="L63" s="19">
        <v>1220</v>
      </c>
      <c r="M63" s="19">
        <v>6.9260000000000002</v>
      </c>
      <c r="N63" s="17">
        <v>0</v>
      </c>
      <c r="O63" s="19">
        <v>4</v>
      </c>
      <c r="P63" s="19">
        <v>60</v>
      </c>
      <c r="Q63" s="19">
        <v>11</v>
      </c>
      <c r="R63" s="19">
        <v>53</v>
      </c>
      <c r="S63" s="19">
        <v>28.4</v>
      </c>
      <c r="T63" s="19">
        <v>46.8</v>
      </c>
    </row>
    <row r="64" spans="1:20" x14ac:dyDescent="0.2">
      <c r="A64" t="s">
        <v>0</v>
      </c>
      <c r="B64" t="s">
        <v>188</v>
      </c>
      <c r="C64" t="s">
        <v>642</v>
      </c>
      <c r="D64" s="19">
        <v>3806671</v>
      </c>
      <c r="E64" s="21">
        <v>75.2</v>
      </c>
      <c r="F64" s="19">
        <v>27204.561129999998</v>
      </c>
      <c r="G64" s="19">
        <v>69490</v>
      </c>
      <c r="H64" s="19">
        <v>27.405999999999999</v>
      </c>
      <c r="I64" s="19">
        <v>33.552</v>
      </c>
      <c r="J64" s="19">
        <v>1.2934000000000001</v>
      </c>
      <c r="K64" s="19">
        <v>805400</v>
      </c>
      <c r="L64" s="19">
        <v>1026</v>
      </c>
      <c r="M64" s="19">
        <v>3.7690000000000001</v>
      </c>
      <c r="N64" s="19">
        <v>500000</v>
      </c>
      <c r="O64" s="19">
        <v>8</v>
      </c>
      <c r="P64" s="19">
        <v>13</v>
      </c>
      <c r="Q64" s="19">
        <v>15</v>
      </c>
      <c r="R64" s="19">
        <v>70</v>
      </c>
      <c r="S64" s="19">
        <v>22.8</v>
      </c>
      <c r="T64" s="19">
        <v>0.8</v>
      </c>
    </row>
    <row r="65" spans="1:20" x14ac:dyDescent="0.2">
      <c r="A65" t="s">
        <v>190</v>
      </c>
      <c r="B65" t="s">
        <v>191</v>
      </c>
      <c r="C65" t="s">
        <v>641</v>
      </c>
      <c r="D65" s="19">
        <v>35064272</v>
      </c>
      <c r="E65" s="21">
        <v>66</v>
      </c>
      <c r="F65" s="19">
        <v>7404.4402700000001</v>
      </c>
      <c r="G65" s="19">
        <v>227533</v>
      </c>
      <c r="H65" s="19">
        <v>6.4863999999999997</v>
      </c>
      <c r="I65" s="19">
        <v>73.057000000000002</v>
      </c>
      <c r="J65" s="19">
        <v>1.4645999999999999</v>
      </c>
      <c r="K65" s="19">
        <v>601500</v>
      </c>
      <c r="L65" s="19">
        <v>1187</v>
      </c>
      <c r="M65" s="19">
        <v>0.77300000000000002</v>
      </c>
      <c r="N65" s="19">
        <v>395000</v>
      </c>
      <c r="O65" s="19">
        <v>23</v>
      </c>
      <c r="P65" s="19">
        <v>87</v>
      </c>
      <c r="Q65" s="19">
        <v>25</v>
      </c>
      <c r="R65" s="19">
        <v>128</v>
      </c>
      <c r="S65" s="19">
        <v>15.3</v>
      </c>
      <c r="T65" s="17">
        <v>0</v>
      </c>
    </row>
    <row r="66" spans="1:20" x14ac:dyDescent="0.2">
      <c r="A66" t="s">
        <v>193</v>
      </c>
      <c r="B66" t="s">
        <v>194</v>
      </c>
      <c r="C66" t="s">
        <v>641</v>
      </c>
      <c r="D66" s="19">
        <v>15099727</v>
      </c>
      <c r="E66" s="21">
        <v>63.01</v>
      </c>
      <c r="F66" s="19">
        <v>4320.5237800000004</v>
      </c>
      <c r="G66" s="19">
        <v>245720</v>
      </c>
      <c r="H66" s="19">
        <v>6.7416</v>
      </c>
      <c r="I66" s="19">
        <v>67.415999999999997</v>
      </c>
      <c r="J66" s="19">
        <v>0.89</v>
      </c>
      <c r="L66" s="19">
        <v>1651</v>
      </c>
      <c r="M66" s="19">
        <v>0.47199999999999998</v>
      </c>
      <c r="N66" s="19">
        <v>63000</v>
      </c>
      <c r="O66" s="19">
        <v>32</v>
      </c>
      <c r="P66" s="19">
        <v>119</v>
      </c>
      <c r="Q66" s="19">
        <v>22</v>
      </c>
      <c r="R66" s="19">
        <v>221</v>
      </c>
      <c r="S66" s="19">
        <v>42.6</v>
      </c>
      <c r="T66" s="19">
        <v>0.6</v>
      </c>
    </row>
    <row r="67" spans="1:20" x14ac:dyDescent="0.2">
      <c r="A67" t="s">
        <v>196</v>
      </c>
      <c r="B67" t="s">
        <v>197</v>
      </c>
      <c r="C67" t="s">
        <v>641</v>
      </c>
      <c r="D67" s="19">
        <v>2822093</v>
      </c>
      <c r="E67" s="21">
        <v>67.91</v>
      </c>
      <c r="F67" s="19">
        <v>3199.3084699999999</v>
      </c>
      <c r="G67" s="19">
        <v>10120</v>
      </c>
      <c r="H67" s="19">
        <v>20.866</v>
      </c>
      <c r="I67" s="19">
        <v>38.582999999999998</v>
      </c>
      <c r="J67" s="19">
        <v>0.1016</v>
      </c>
      <c r="L67" s="19">
        <v>836</v>
      </c>
      <c r="M67" s="19">
        <v>0.29299999999999998</v>
      </c>
      <c r="N67" s="19">
        <v>800</v>
      </c>
      <c r="O67" s="19">
        <v>10</v>
      </c>
      <c r="P67" s="19">
        <v>80</v>
      </c>
      <c r="Q67" s="19">
        <v>20</v>
      </c>
      <c r="R67" s="19">
        <v>6</v>
      </c>
      <c r="S67" s="19">
        <v>7.7</v>
      </c>
      <c r="T67" s="19">
        <v>0.7</v>
      </c>
    </row>
    <row r="68" spans="1:20" x14ac:dyDescent="0.2">
      <c r="A68" t="s">
        <v>199</v>
      </c>
      <c r="B68" t="s">
        <v>200</v>
      </c>
      <c r="C68" t="s">
        <v>641</v>
      </c>
      <c r="D68" s="19">
        <v>2249515</v>
      </c>
      <c r="E68" s="21">
        <v>61.68</v>
      </c>
      <c r="F68" s="19">
        <v>2838.3758200000002</v>
      </c>
      <c r="G68" s="19">
        <v>28120</v>
      </c>
      <c r="H68" s="19">
        <v>6.2632000000000003</v>
      </c>
      <c r="I68" s="19">
        <v>75.789000000000001</v>
      </c>
      <c r="J68" s="19">
        <v>0.19</v>
      </c>
      <c r="L68" s="19">
        <v>1577</v>
      </c>
      <c r="M68" s="19">
        <v>0.19800000000000001</v>
      </c>
      <c r="N68" s="17">
        <v>0</v>
      </c>
      <c r="O68" s="19">
        <v>15</v>
      </c>
      <c r="P68" s="19">
        <v>70</v>
      </c>
      <c r="Q68" s="19">
        <v>15</v>
      </c>
      <c r="R68" s="19">
        <v>12</v>
      </c>
      <c r="S68" s="19">
        <v>26.2</v>
      </c>
      <c r="T68" s="19">
        <v>9.1</v>
      </c>
    </row>
    <row r="69" spans="1:20" x14ac:dyDescent="0.2">
      <c r="A69" t="s">
        <v>202</v>
      </c>
      <c r="B69" t="s">
        <v>203</v>
      </c>
      <c r="C69" t="s">
        <v>641</v>
      </c>
      <c r="D69" s="19">
        <v>1938431</v>
      </c>
      <c r="E69" s="21">
        <v>61.88</v>
      </c>
      <c r="F69" s="19">
        <v>14767.565930000001</v>
      </c>
      <c r="G69" s="19">
        <v>28050</v>
      </c>
      <c r="H69" s="19">
        <v>15.151999999999999</v>
      </c>
      <c r="I69" s="19">
        <v>5.0505000000000004</v>
      </c>
      <c r="J69" s="19">
        <v>1.9800000000000002E-2</v>
      </c>
      <c r="L69" s="19">
        <v>2156</v>
      </c>
      <c r="M69" s="19">
        <v>4.75</v>
      </c>
      <c r="N69" s="17">
        <v>0</v>
      </c>
      <c r="O69" s="19">
        <v>24</v>
      </c>
      <c r="P69" s="19">
        <v>82</v>
      </c>
      <c r="Q69" s="19">
        <v>3</v>
      </c>
      <c r="R69" s="19">
        <v>165</v>
      </c>
      <c r="S69" s="19">
        <v>19</v>
      </c>
      <c r="T69" s="19">
        <v>0.3</v>
      </c>
    </row>
    <row r="70" spans="1:20" x14ac:dyDescent="0.2">
      <c r="A70" t="s">
        <v>205</v>
      </c>
      <c r="B70" t="s">
        <v>206</v>
      </c>
      <c r="C70" t="s">
        <v>642</v>
      </c>
      <c r="D70" s="19">
        <v>9938844</v>
      </c>
      <c r="E70" s="21">
        <v>81.489999999999995</v>
      </c>
      <c r="F70" s="19">
        <v>39621.406730000002</v>
      </c>
      <c r="G70" s="19">
        <v>128900</v>
      </c>
      <c r="H70" s="19">
        <v>2.7774000000000001</v>
      </c>
      <c r="I70" s="19">
        <v>80.474000000000004</v>
      </c>
      <c r="J70" s="19">
        <v>10.074</v>
      </c>
      <c r="K70" s="19">
        <v>641400</v>
      </c>
      <c r="L70" s="19">
        <v>652</v>
      </c>
      <c r="M70" s="19">
        <v>5.274</v>
      </c>
      <c r="N70" s="17">
        <v>0</v>
      </c>
      <c r="O70" s="19">
        <v>12</v>
      </c>
      <c r="P70" s="19">
        <v>98</v>
      </c>
      <c r="Q70" s="19">
        <v>19</v>
      </c>
      <c r="R70" s="19">
        <v>86</v>
      </c>
      <c r="S70" s="19">
        <v>35</v>
      </c>
      <c r="T70" s="19">
        <v>4.7</v>
      </c>
    </row>
    <row r="71" spans="1:20" x14ac:dyDescent="0.2">
      <c r="A71" t="s">
        <v>208</v>
      </c>
      <c r="B71" t="s">
        <v>209</v>
      </c>
      <c r="C71" t="s">
        <v>643</v>
      </c>
      <c r="D71" s="19">
        <v>117303</v>
      </c>
      <c r="E71" s="21">
        <v>75.7</v>
      </c>
      <c r="F71" s="19">
        <v>18821.06954</v>
      </c>
      <c r="G71" s="19">
        <v>340</v>
      </c>
      <c r="H71" s="17">
        <v>0</v>
      </c>
      <c r="I71" s="19">
        <v>14.894</v>
      </c>
      <c r="J71" s="19">
        <v>1.41E-2</v>
      </c>
      <c r="L71" s="19">
        <v>2350</v>
      </c>
      <c r="M71" s="19">
        <v>2.4540000000000002</v>
      </c>
      <c r="N71" s="19">
        <v>2320</v>
      </c>
      <c r="O71" s="19">
        <v>3</v>
      </c>
      <c r="P71" s="19">
        <v>49</v>
      </c>
      <c r="Q71" s="19">
        <v>2</v>
      </c>
      <c r="R71" s="19">
        <v>7</v>
      </c>
      <c r="S71" s="19">
        <v>8.8000000000000007</v>
      </c>
      <c r="T71" s="19">
        <v>0.1</v>
      </c>
    </row>
    <row r="72" spans="1:20" x14ac:dyDescent="0.2">
      <c r="A72" t="s">
        <v>211</v>
      </c>
      <c r="B72" t="s">
        <v>212</v>
      </c>
      <c r="C72" t="s">
        <v>643</v>
      </c>
      <c r="D72" s="19">
        <v>18687881</v>
      </c>
      <c r="E72" s="21">
        <v>73.599999999999994</v>
      </c>
      <c r="F72" s="19">
        <v>13328.77649</v>
      </c>
      <c r="G72" s="19">
        <v>107160</v>
      </c>
      <c r="H72" s="19">
        <v>18.143000000000001</v>
      </c>
      <c r="I72" s="19">
        <v>56.737000000000002</v>
      </c>
      <c r="J72" s="19">
        <v>3.3241000000000001</v>
      </c>
      <c r="K72" s="19">
        <v>283200</v>
      </c>
      <c r="L72" s="19">
        <v>1996</v>
      </c>
      <c r="M72" s="19">
        <v>1.34</v>
      </c>
      <c r="N72" s="19">
        <v>1334000</v>
      </c>
      <c r="O72" s="19">
        <v>16</v>
      </c>
      <c r="P72" s="19">
        <v>96</v>
      </c>
      <c r="Q72" s="19">
        <v>19</v>
      </c>
      <c r="R72" s="19">
        <v>364</v>
      </c>
      <c r="S72" s="19">
        <v>20.100000000000001</v>
      </c>
      <c r="T72" s="19">
        <v>0.9</v>
      </c>
    </row>
    <row r="73" spans="1:20" x14ac:dyDescent="0.2">
      <c r="A73" t="s">
        <v>214</v>
      </c>
      <c r="B73" t="s">
        <v>215</v>
      </c>
      <c r="C73" t="s">
        <v>643</v>
      </c>
      <c r="D73" s="19">
        <v>835986</v>
      </c>
      <c r="E73" s="21">
        <v>69.39</v>
      </c>
      <c r="F73" s="19">
        <v>79370.521980000005</v>
      </c>
      <c r="G73" s="19">
        <v>211140</v>
      </c>
      <c r="H73" s="19">
        <v>1.4120999999999999</v>
      </c>
      <c r="I73" s="19">
        <v>94.344999999999999</v>
      </c>
      <c r="J73" s="19">
        <v>1.4447000000000001</v>
      </c>
      <c r="L73" s="19">
        <v>2387</v>
      </c>
      <c r="M73" s="19">
        <v>3.153</v>
      </c>
      <c r="N73" s="19">
        <v>6477000</v>
      </c>
      <c r="O73" s="19">
        <v>11</v>
      </c>
      <c r="P73" s="19">
        <v>68</v>
      </c>
      <c r="Q73" s="19">
        <v>11</v>
      </c>
      <c r="R73" s="19">
        <v>82</v>
      </c>
      <c r="S73" s="19">
        <v>8.4</v>
      </c>
      <c r="T73" s="17">
        <v>0</v>
      </c>
    </row>
    <row r="74" spans="1:20" x14ac:dyDescent="0.2">
      <c r="A74" t="s">
        <v>217</v>
      </c>
      <c r="B74" t="s">
        <v>218</v>
      </c>
      <c r="C74" t="s">
        <v>643</v>
      </c>
      <c r="D74" s="19">
        <v>11005850</v>
      </c>
      <c r="E74" s="21">
        <v>76.62</v>
      </c>
      <c r="F74" s="19">
        <v>6863.3328499999998</v>
      </c>
      <c r="G74" s="19">
        <v>111890</v>
      </c>
      <c r="H74" s="19">
        <v>7.0940000000000003</v>
      </c>
      <c r="I74" s="19">
        <v>73.304000000000002</v>
      </c>
      <c r="J74" s="19">
        <v>1.607</v>
      </c>
      <c r="K74" s="19">
        <v>255000</v>
      </c>
      <c r="L74" s="19">
        <v>1976</v>
      </c>
      <c r="M74" s="19">
        <v>0.876</v>
      </c>
      <c r="N74" s="19">
        <v>457000</v>
      </c>
      <c r="O74" s="19">
        <v>10</v>
      </c>
      <c r="P74" s="19">
        <v>91</v>
      </c>
      <c r="Q74" s="19">
        <v>18</v>
      </c>
      <c r="R74" s="19">
        <v>193</v>
      </c>
      <c r="S74" s="19">
        <v>23</v>
      </c>
      <c r="T74" s="19">
        <v>4.9000000000000004</v>
      </c>
    </row>
    <row r="75" spans="1:20" x14ac:dyDescent="0.2">
      <c r="A75" t="s">
        <v>220</v>
      </c>
      <c r="B75" t="s">
        <v>221</v>
      </c>
      <c r="C75" t="s">
        <v>642</v>
      </c>
      <c r="E75" s="17" t="e">
        <v>#N/A</v>
      </c>
    </row>
    <row r="76" spans="1:20" x14ac:dyDescent="0.2">
      <c r="A76" t="s">
        <v>222</v>
      </c>
      <c r="B76" t="s">
        <v>223</v>
      </c>
      <c r="C76" t="s">
        <v>642</v>
      </c>
      <c r="D76" s="19">
        <v>3848160</v>
      </c>
      <c r="E76" s="21">
        <v>79.099999999999994</v>
      </c>
      <c r="F76" s="19">
        <v>45156.128900000003</v>
      </c>
      <c r="G76" s="19">
        <v>55960</v>
      </c>
      <c r="H76" s="19">
        <v>46.752000000000002</v>
      </c>
      <c r="I76" s="19">
        <v>7.4802999999999997</v>
      </c>
      <c r="J76" s="19">
        <v>1.016</v>
      </c>
      <c r="K76" s="19">
        <v>716200</v>
      </c>
      <c r="L76" s="19">
        <v>1113</v>
      </c>
      <c r="M76" s="19">
        <v>5.944</v>
      </c>
      <c r="N76" s="19">
        <v>7000</v>
      </c>
      <c r="O76" s="19">
        <v>10</v>
      </c>
      <c r="P76" s="19">
        <v>80</v>
      </c>
      <c r="Q76" s="19">
        <v>16</v>
      </c>
      <c r="R76" s="19">
        <v>11</v>
      </c>
      <c r="S76" s="19">
        <v>38.4</v>
      </c>
      <c r="T76" s="19">
        <v>9.3000000000000007</v>
      </c>
    </row>
    <row r="77" spans="1:20" x14ac:dyDescent="0.2">
      <c r="A77" t="s">
        <v>225</v>
      </c>
      <c r="B77" t="s">
        <v>226</v>
      </c>
      <c r="C77" t="s">
        <v>643</v>
      </c>
      <c r="D77" s="19">
        <v>11906095</v>
      </c>
      <c r="E77" s="21">
        <v>61.56</v>
      </c>
      <c r="F77" s="19">
        <v>2808.66975</v>
      </c>
      <c r="G77" s="19">
        <v>27560</v>
      </c>
      <c r="H77" s="19">
        <v>3.5171999999999999</v>
      </c>
      <c r="I77" s="19">
        <v>83.379000000000005</v>
      </c>
      <c r="J77" s="19">
        <v>1.45</v>
      </c>
      <c r="K77" s="19">
        <v>15220</v>
      </c>
      <c r="L77" s="19">
        <v>1440</v>
      </c>
      <c r="M77" s="19">
        <v>0.27200000000000002</v>
      </c>
      <c r="N77" s="17">
        <v>0</v>
      </c>
      <c r="O77" s="19">
        <v>3</v>
      </c>
      <c r="P77" s="19">
        <v>61</v>
      </c>
      <c r="Q77" s="19">
        <v>17</v>
      </c>
      <c r="R77" s="19">
        <v>219</v>
      </c>
      <c r="S77" s="19">
        <v>8.6</v>
      </c>
      <c r="T77" s="19">
        <v>1.8</v>
      </c>
    </row>
    <row r="78" spans="1:20" x14ac:dyDescent="0.2">
      <c r="A78" t="s">
        <v>228</v>
      </c>
      <c r="B78" t="s">
        <v>229</v>
      </c>
      <c r="C78" t="s">
        <v>642</v>
      </c>
      <c r="D78" s="19">
        <v>9632287</v>
      </c>
      <c r="E78" s="21">
        <v>77.3</v>
      </c>
      <c r="F78" s="19">
        <v>42498.587379999997</v>
      </c>
      <c r="G78" s="19">
        <v>91260</v>
      </c>
      <c r="H78" s="19">
        <v>75.664000000000001</v>
      </c>
      <c r="I78" s="19">
        <v>11.047000000000001</v>
      </c>
      <c r="J78" s="19">
        <v>4.9663000000000004</v>
      </c>
      <c r="K78" s="19">
        <v>16170</v>
      </c>
      <c r="L78" s="19">
        <v>589</v>
      </c>
      <c r="M78" s="19">
        <v>6.41</v>
      </c>
      <c r="N78" s="17">
        <v>0</v>
      </c>
      <c r="O78" s="19">
        <v>6</v>
      </c>
      <c r="P78" s="19">
        <v>11</v>
      </c>
      <c r="Q78" s="19">
        <v>14</v>
      </c>
      <c r="R78" s="19">
        <v>45</v>
      </c>
      <c r="S78" s="19">
        <v>22.3</v>
      </c>
    </row>
    <row r="79" spans="1:20" x14ac:dyDescent="0.2">
      <c r="A79" t="s">
        <v>231</v>
      </c>
      <c r="B79" t="s">
        <v>232</v>
      </c>
      <c r="C79" t="s">
        <v>640</v>
      </c>
      <c r="D79" s="19">
        <v>285721236</v>
      </c>
      <c r="E79" s="21">
        <v>73.010000000000005</v>
      </c>
      <c r="F79" s="19">
        <v>15391.06911</v>
      </c>
      <c r="G79" s="19">
        <v>1892555.47</v>
      </c>
      <c r="H79" s="19">
        <v>4.1031000000000004</v>
      </c>
      <c r="I79" s="19">
        <v>85.206999999999994</v>
      </c>
      <c r="J79" s="19">
        <v>222.63</v>
      </c>
      <c r="K79" s="19">
        <v>1520000</v>
      </c>
      <c r="L79" s="19">
        <v>2702</v>
      </c>
      <c r="M79" s="19">
        <v>2.3610000000000002</v>
      </c>
      <c r="N79" s="19">
        <v>46024000</v>
      </c>
      <c r="O79" s="19">
        <v>212</v>
      </c>
      <c r="P79" s="19">
        <v>366</v>
      </c>
      <c r="Q79" s="19">
        <v>161</v>
      </c>
      <c r="R79" s="19">
        <v>977</v>
      </c>
      <c r="S79" s="19">
        <v>12</v>
      </c>
      <c r="T79" s="19">
        <v>3</v>
      </c>
    </row>
    <row r="80" spans="1:20" x14ac:dyDescent="0.2">
      <c r="A80" t="s">
        <v>234</v>
      </c>
      <c r="B80" t="s">
        <v>235</v>
      </c>
      <c r="C80" t="s">
        <v>640</v>
      </c>
      <c r="D80" s="19">
        <v>1463865525</v>
      </c>
      <c r="E80" s="21">
        <v>72.3</v>
      </c>
      <c r="F80" s="19">
        <v>10607.623100000001</v>
      </c>
      <c r="G80" s="19">
        <v>2973190</v>
      </c>
      <c r="H80" s="19">
        <v>2.2339000000000002</v>
      </c>
      <c r="I80" s="19">
        <v>90.406999999999996</v>
      </c>
      <c r="J80" s="19">
        <v>761</v>
      </c>
      <c r="K80" s="19">
        <v>9839000</v>
      </c>
      <c r="L80" s="19">
        <v>1083</v>
      </c>
      <c r="M80" s="19">
        <v>1.8740000000000001</v>
      </c>
      <c r="N80" s="19">
        <v>15701000</v>
      </c>
      <c r="O80" s="19">
        <v>99</v>
      </c>
      <c r="P80" s="19">
        <v>290</v>
      </c>
      <c r="Q80" s="19">
        <v>92</v>
      </c>
      <c r="R80" s="19">
        <v>527</v>
      </c>
      <c r="S80" s="19">
        <v>7.7</v>
      </c>
      <c r="T80" s="19">
        <v>0.3</v>
      </c>
    </row>
    <row r="81" spans="1:20" x14ac:dyDescent="0.2">
      <c r="A81" t="s">
        <v>237</v>
      </c>
      <c r="B81" t="s">
        <v>238</v>
      </c>
      <c r="C81" t="s">
        <v>642</v>
      </c>
      <c r="D81" s="19">
        <v>5308039</v>
      </c>
      <c r="E81" s="21">
        <v>83</v>
      </c>
      <c r="F81" s="19">
        <v>119406.22560000001</v>
      </c>
      <c r="G81" s="19">
        <v>68890</v>
      </c>
      <c r="H81" s="19">
        <v>31.788</v>
      </c>
      <c r="I81" s="19">
        <v>2.3687999999999998</v>
      </c>
      <c r="J81" s="19">
        <v>1.673</v>
      </c>
      <c r="K81" s="19">
        <v>51500</v>
      </c>
      <c r="L81" s="19">
        <v>1118</v>
      </c>
      <c r="M81" s="19">
        <v>8.59</v>
      </c>
      <c r="N81" s="17">
        <v>0</v>
      </c>
      <c r="O81" s="19">
        <v>4</v>
      </c>
      <c r="P81" s="19">
        <v>41</v>
      </c>
      <c r="Q81" s="19">
        <v>9</v>
      </c>
      <c r="R81" s="19">
        <v>8</v>
      </c>
      <c r="S81" s="19">
        <v>14.2</v>
      </c>
      <c r="T81" s="19">
        <v>2.4</v>
      </c>
    </row>
    <row r="82" spans="1:20" x14ac:dyDescent="0.2">
      <c r="A82" t="s">
        <v>240</v>
      </c>
      <c r="B82" t="s">
        <v>241</v>
      </c>
      <c r="C82" t="s">
        <v>640</v>
      </c>
      <c r="D82" s="19">
        <v>92417681</v>
      </c>
      <c r="E82" s="21">
        <v>79.31</v>
      </c>
      <c r="F82" s="19">
        <v>16539.722860000002</v>
      </c>
      <c r="G82" s="19">
        <v>1622500</v>
      </c>
      <c r="H82" s="19">
        <v>1.179</v>
      </c>
      <c r="I82" s="19">
        <v>92.176000000000002</v>
      </c>
      <c r="J82" s="19">
        <v>93.3</v>
      </c>
      <c r="K82" s="19">
        <v>819100</v>
      </c>
      <c r="L82" s="19">
        <v>228</v>
      </c>
      <c r="M82" s="19">
        <v>7.673</v>
      </c>
      <c r="N82" s="19">
        <v>200000</v>
      </c>
      <c r="O82" s="19">
        <v>18</v>
      </c>
      <c r="P82" s="19">
        <v>84</v>
      </c>
      <c r="Q82" s="19">
        <v>29</v>
      </c>
      <c r="R82" s="19">
        <v>15</v>
      </c>
      <c r="S82" s="19">
        <v>7.8</v>
      </c>
      <c r="T82" s="19">
        <v>0.9</v>
      </c>
    </row>
    <row r="83" spans="1:20" x14ac:dyDescent="0.2">
      <c r="A83" t="s">
        <v>243</v>
      </c>
      <c r="B83" t="s">
        <v>244</v>
      </c>
      <c r="C83" t="s">
        <v>640</v>
      </c>
      <c r="D83" s="19">
        <v>47020774</v>
      </c>
      <c r="E83" s="21">
        <v>71.400000000000006</v>
      </c>
      <c r="F83" s="19">
        <v>12554.131170000001</v>
      </c>
      <c r="G83" s="19">
        <v>434130</v>
      </c>
      <c r="H83" s="19">
        <v>10.654</v>
      </c>
      <c r="I83" s="19">
        <v>73.47</v>
      </c>
      <c r="J83" s="19">
        <v>42.423999999999999</v>
      </c>
      <c r="K83" s="19">
        <v>409800</v>
      </c>
      <c r="L83" s="19">
        <v>216</v>
      </c>
      <c r="M83" s="19">
        <v>5.7560000000000002</v>
      </c>
      <c r="N83" s="17">
        <v>0</v>
      </c>
      <c r="O83" s="19">
        <v>13</v>
      </c>
      <c r="P83" s="19">
        <v>44</v>
      </c>
      <c r="Q83" s="19">
        <v>18</v>
      </c>
      <c r="R83" s="19">
        <v>4</v>
      </c>
      <c r="S83" s="19">
        <v>1.5</v>
      </c>
      <c r="T83" s="17">
        <v>0</v>
      </c>
    </row>
    <row r="84" spans="1:20" x14ac:dyDescent="0.2">
      <c r="A84" t="s">
        <v>246</v>
      </c>
      <c r="B84" t="s">
        <v>247</v>
      </c>
      <c r="C84" t="s">
        <v>642</v>
      </c>
      <c r="D84" s="19">
        <v>398266</v>
      </c>
      <c r="E84" s="21">
        <v>83.1</v>
      </c>
      <c r="F84" s="19">
        <v>67443.743799999997</v>
      </c>
      <c r="G84" s="19">
        <v>100830</v>
      </c>
      <c r="H84" s="19">
        <v>71.146000000000001</v>
      </c>
      <c r="I84" s="19">
        <v>0.10780000000000001</v>
      </c>
      <c r="J84" s="19">
        <v>0.27829999999999999</v>
      </c>
      <c r="K84" s="19">
        <v>1083000</v>
      </c>
      <c r="L84" s="19">
        <v>1940</v>
      </c>
      <c r="M84" s="19">
        <v>9.9909999999999997</v>
      </c>
      <c r="N84" s="17">
        <v>0</v>
      </c>
      <c r="O84" s="19">
        <v>6</v>
      </c>
      <c r="P84" s="19">
        <v>20</v>
      </c>
      <c r="Q84" s="19">
        <v>7</v>
      </c>
      <c r="R84" s="17">
        <v>0</v>
      </c>
      <c r="S84" s="19">
        <v>20.9</v>
      </c>
      <c r="T84" s="19">
        <v>0.5</v>
      </c>
    </row>
    <row r="85" spans="1:20" x14ac:dyDescent="0.2">
      <c r="A85" t="s">
        <v>249</v>
      </c>
      <c r="B85" t="s">
        <v>250</v>
      </c>
      <c r="C85" t="s">
        <v>640</v>
      </c>
      <c r="D85" s="19">
        <v>9517181</v>
      </c>
      <c r="E85" s="21">
        <v>83.81</v>
      </c>
      <c r="F85" s="19">
        <v>49539.472690000002</v>
      </c>
      <c r="G85" s="19">
        <v>21640</v>
      </c>
      <c r="H85" s="19">
        <v>4.0243000000000002</v>
      </c>
      <c r="I85" s="19">
        <v>46.625999999999998</v>
      </c>
      <c r="J85" s="19">
        <v>2.605</v>
      </c>
      <c r="K85" s="19">
        <v>2494</v>
      </c>
      <c r="L85" s="17">
        <v>0</v>
      </c>
      <c r="M85" s="19">
        <v>8.5980000000000008</v>
      </c>
      <c r="N85" s="17">
        <v>0</v>
      </c>
      <c r="O85" s="19">
        <v>16</v>
      </c>
      <c r="P85" s="19">
        <v>84</v>
      </c>
      <c r="Q85" s="19">
        <v>19</v>
      </c>
      <c r="R85" s="19">
        <v>39</v>
      </c>
      <c r="S85" s="19">
        <v>27.6</v>
      </c>
      <c r="T85" s="19">
        <v>0.6</v>
      </c>
    </row>
    <row r="86" spans="1:20" x14ac:dyDescent="0.2">
      <c r="A86" t="s">
        <v>252</v>
      </c>
      <c r="B86" t="s">
        <v>253</v>
      </c>
      <c r="C86" t="s">
        <v>642</v>
      </c>
      <c r="D86" s="19">
        <v>59146260</v>
      </c>
      <c r="E86" s="21">
        <v>83.5</v>
      </c>
      <c r="F86" s="19">
        <v>54773.819409999996</v>
      </c>
      <c r="G86" s="19">
        <v>295720</v>
      </c>
      <c r="H86" s="19">
        <v>22.748999999999999</v>
      </c>
      <c r="I86" s="19">
        <v>50.225000000000001</v>
      </c>
      <c r="J86" s="19">
        <v>33.847999999999999</v>
      </c>
      <c r="K86" s="19">
        <v>4395000</v>
      </c>
      <c r="L86" s="19">
        <v>832</v>
      </c>
      <c r="M86" s="19">
        <v>6.9249999999999998</v>
      </c>
      <c r="N86" s="19">
        <v>93000</v>
      </c>
      <c r="O86" s="19">
        <v>9</v>
      </c>
      <c r="P86" s="19">
        <v>72</v>
      </c>
      <c r="Q86" s="19">
        <v>19</v>
      </c>
      <c r="R86" s="19">
        <v>122</v>
      </c>
      <c r="S86" s="19">
        <v>21.5</v>
      </c>
      <c r="T86" s="19">
        <v>11</v>
      </c>
    </row>
    <row r="87" spans="1:20" x14ac:dyDescent="0.2">
      <c r="A87" t="s">
        <v>255</v>
      </c>
      <c r="B87" t="s">
        <v>256</v>
      </c>
      <c r="C87" t="s">
        <v>643</v>
      </c>
      <c r="D87" s="19">
        <v>2837077</v>
      </c>
      <c r="E87" s="21">
        <v>76.53</v>
      </c>
      <c r="F87" s="19">
        <v>10741.485650000001</v>
      </c>
      <c r="G87" s="19">
        <v>10830</v>
      </c>
      <c r="H87" s="19">
        <v>9.5044000000000004</v>
      </c>
      <c r="I87" s="19">
        <v>17.062999999999999</v>
      </c>
      <c r="J87" s="19">
        <v>0.46283000000000002</v>
      </c>
      <c r="K87" s="19">
        <v>13070</v>
      </c>
      <c r="L87" s="19">
        <v>2051</v>
      </c>
      <c r="M87" s="19">
        <v>2.4340000000000002</v>
      </c>
      <c r="N87" s="19">
        <v>87500</v>
      </c>
      <c r="O87" s="19">
        <v>7</v>
      </c>
      <c r="P87" s="19">
        <v>48</v>
      </c>
      <c r="Q87" s="19">
        <v>10</v>
      </c>
      <c r="R87" s="19">
        <v>214</v>
      </c>
      <c r="S87" s="19">
        <v>19.899999999999999</v>
      </c>
      <c r="T87" s="19">
        <v>0.7</v>
      </c>
    </row>
    <row r="88" spans="1:20" x14ac:dyDescent="0.2">
      <c r="A88" t="s">
        <v>258</v>
      </c>
      <c r="B88" t="s">
        <v>259</v>
      </c>
      <c r="C88" t="s">
        <v>640</v>
      </c>
      <c r="D88" s="19">
        <v>11520684</v>
      </c>
      <c r="E88" s="21">
        <v>79</v>
      </c>
      <c r="F88" s="19">
        <v>9977.1209799999997</v>
      </c>
      <c r="G88" s="19">
        <v>88794</v>
      </c>
      <c r="H88" s="19">
        <v>3.3380000000000001</v>
      </c>
      <c r="I88" s="19">
        <v>51.645000000000003</v>
      </c>
      <c r="J88" s="19">
        <v>1.1049</v>
      </c>
      <c r="K88" s="19">
        <v>5245</v>
      </c>
      <c r="L88" s="19">
        <v>111</v>
      </c>
      <c r="M88" s="19">
        <v>2.8959999999999999</v>
      </c>
      <c r="N88" s="17">
        <v>0</v>
      </c>
      <c r="O88" s="19">
        <v>13</v>
      </c>
      <c r="P88" s="19">
        <v>28</v>
      </c>
      <c r="Q88" s="19">
        <v>16</v>
      </c>
      <c r="R88" s="19">
        <v>8</v>
      </c>
      <c r="S88" s="19">
        <v>5.4</v>
      </c>
      <c r="T88" s="19">
        <v>2.8</v>
      </c>
    </row>
    <row r="89" spans="1:20" x14ac:dyDescent="0.2">
      <c r="A89" t="s">
        <v>261</v>
      </c>
      <c r="B89" t="s">
        <v>262</v>
      </c>
      <c r="C89" t="s">
        <v>640</v>
      </c>
      <c r="D89" s="19">
        <v>123103479</v>
      </c>
      <c r="E89" s="21">
        <v>84.5</v>
      </c>
      <c r="F89" s="19">
        <v>47815.398880000001</v>
      </c>
      <c r="G89" s="19">
        <v>364569.27</v>
      </c>
      <c r="H89" s="19">
        <v>16.352</v>
      </c>
      <c r="I89" s="19">
        <v>66.667000000000002</v>
      </c>
      <c r="J89" s="19">
        <v>79.5</v>
      </c>
      <c r="K89" s="19">
        <v>7069000</v>
      </c>
      <c r="L89" s="19">
        <v>1668</v>
      </c>
      <c r="M89" s="19">
        <v>9.9909999999999997</v>
      </c>
      <c r="N89" s="19">
        <v>4905000</v>
      </c>
      <c r="O89" s="19">
        <v>29</v>
      </c>
      <c r="P89" s="19">
        <v>166</v>
      </c>
      <c r="Q89" s="19">
        <v>50</v>
      </c>
      <c r="R89" s="19">
        <v>75</v>
      </c>
      <c r="S89" s="19">
        <v>29.7</v>
      </c>
      <c r="T89" s="19">
        <v>13.8</v>
      </c>
    </row>
    <row r="90" spans="1:20" x14ac:dyDescent="0.2">
      <c r="A90" t="s">
        <v>264</v>
      </c>
      <c r="B90" t="s">
        <v>265</v>
      </c>
      <c r="C90" t="s">
        <v>640</v>
      </c>
      <c r="D90" s="19">
        <v>20843754</v>
      </c>
      <c r="E90" s="21">
        <v>75.3</v>
      </c>
      <c r="F90" s="19">
        <v>38237.521030000004</v>
      </c>
      <c r="G90" s="19">
        <v>2699700</v>
      </c>
      <c r="H90" s="19">
        <v>23.85</v>
      </c>
      <c r="I90" s="19">
        <v>56.747</v>
      </c>
      <c r="J90" s="19">
        <v>25.135999999999999</v>
      </c>
      <c r="K90" s="19">
        <v>689800</v>
      </c>
      <c r="L90" s="19">
        <v>250</v>
      </c>
      <c r="M90" s="19">
        <v>9.6579999999999995</v>
      </c>
      <c r="N90" s="17">
        <v>0</v>
      </c>
      <c r="O90" s="19">
        <v>17</v>
      </c>
      <c r="P90" s="19">
        <v>24</v>
      </c>
      <c r="Q90" s="19">
        <v>28</v>
      </c>
      <c r="R90" s="19">
        <v>13</v>
      </c>
      <c r="S90" s="19">
        <v>10.1</v>
      </c>
      <c r="T90" s="19">
        <v>52.5</v>
      </c>
    </row>
    <row r="91" spans="1:20" x14ac:dyDescent="0.2">
      <c r="A91" t="s">
        <v>267</v>
      </c>
      <c r="B91" t="s">
        <v>268</v>
      </c>
      <c r="C91" t="s">
        <v>641</v>
      </c>
      <c r="D91" s="19">
        <v>57532493</v>
      </c>
      <c r="E91" s="21">
        <v>70.56</v>
      </c>
      <c r="F91" s="19">
        <v>6158.7667799999999</v>
      </c>
      <c r="G91" s="19">
        <v>580876.30000000005</v>
      </c>
      <c r="H91" s="19">
        <v>7.5148999999999999</v>
      </c>
      <c r="I91" s="19">
        <v>80.207999999999998</v>
      </c>
      <c r="J91" s="19">
        <v>4.032</v>
      </c>
      <c r="K91" s="19">
        <v>294700</v>
      </c>
      <c r="L91" s="19">
        <v>630</v>
      </c>
      <c r="M91" s="19">
        <v>0.56200000000000006</v>
      </c>
      <c r="N91" s="17">
        <v>0</v>
      </c>
      <c r="O91" s="19">
        <v>32</v>
      </c>
      <c r="P91" s="19">
        <v>99</v>
      </c>
      <c r="Q91" s="19">
        <v>45</v>
      </c>
      <c r="R91" s="19">
        <v>382</v>
      </c>
      <c r="S91" s="19">
        <v>13.9</v>
      </c>
      <c r="T91" s="19">
        <v>0.7</v>
      </c>
    </row>
    <row r="92" spans="1:20" x14ac:dyDescent="0.2">
      <c r="A92" t="s">
        <v>270</v>
      </c>
      <c r="B92" t="s">
        <v>271</v>
      </c>
      <c r="C92" t="s">
        <v>640</v>
      </c>
      <c r="D92" s="19">
        <v>7295034</v>
      </c>
      <c r="E92" s="21">
        <v>75.62</v>
      </c>
      <c r="F92" s="19">
        <v>7567.3433400000004</v>
      </c>
      <c r="G92" s="19">
        <v>191800</v>
      </c>
      <c r="H92" s="19">
        <v>4.3864000000000001</v>
      </c>
      <c r="I92" s="19">
        <v>92.688999999999993</v>
      </c>
      <c r="J92" s="19">
        <v>7.66</v>
      </c>
      <c r="K92" s="19">
        <v>888200</v>
      </c>
      <c r="L92" s="19">
        <v>533</v>
      </c>
      <c r="M92" s="19">
        <v>2.8079999999999998</v>
      </c>
      <c r="N92" s="19">
        <v>630000</v>
      </c>
      <c r="O92" s="19">
        <v>5</v>
      </c>
      <c r="P92" s="19">
        <v>12</v>
      </c>
      <c r="Q92" s="19">
        <v>15</v>
      </c>
      <c r="R92" s="19">
        <v>13</v>
      </c>
      <c r="S92" s="19">
        <v>6.8</v>
      </c>
    </row>
    <row r="93" spans="1:20" x14ac:dyDescent="0.2">
      <c r="A93" t="s">
        <v>273</v>
      </c>
      <c r="B93" t="s">
        <v>274</v>
      </c>
      <c r="C93" t="s">
        <v>640</v>
      </c>
      <c r="D93" s="19">
        <v>17847982</v>
      </c>
      <c r="E93" s="21">
        <v>73.510000000000005</v>
      </c>
      <c r="F93" s="19">
        <v>7412.0208300000004</v>
      </c>
      <c r="G93" s="19">
        <v>176520</v>
      </c>
      <c r="H93" s="19">
        <v>1.5109999999999999</v>
      </c>
      <c r="I93" s="19">
        <v>94.001999999999995</v>
      </c>
      <c r="J93" s="19">
        <v>2.1840000000000002</v>
      </c>
      <c r="K93" s="19">
        <v>2236</v>
      </c>
      <c r="L93" s="19">
        <v>1904</v>
      </c>
      <c r="M93" s="19">
        <v>2.5510000000000002</v>
      </c>
      <c r="N93" s="19">
        <v>322000</v>
      </c>
      <c r="O93" s="19">
        <v>44</v>
      </c>
      <c r="P93" s="19">
        <v>94</v>
      </c>
      <c r="Q93" s="19">
        <v>32</v>
      </c>
      <c r="R93" s="19">
        <v>51</v>
      </c>
      <c r="S93" s="19">
        <v>39.799999999999997</v>
      </c>
      <c r="T93" s="19">
        <v>1.5</v>
      </c>
    </row>
    <row r="94" spans="1:20" x14ac:dyDescent="0.2">
      <c r="A94" t="s">
        <v>276</v>
      </c>
      <c r="B94" t="s">
        <v>277</v>
      </c>
      <c r="C94" t="s">
        <v>640</v>
      </c>
      <c r="D94" s="19">
        <v>136488</v>
      </c>
      <c r="E94" s="21">
        <v>71.63</v>
      </c>
      <c r="F94" s="19">
        <v>3420.85689</v>
      </c>
      <c r="G94" s="19">
        <v>810</v>
      </c>
      <c r="M94" s="19">
        <v>0.65</v>
      </c>
      <c r="N94" s="17">
        <v>0</v>
      </c>
      <c r="O94" s="19">
        <v>2</v>
      </c>
      <c r="P94" s="19">
        <v>24</v>
      </c>
      <c r="Q94" s="19">
        <v>6</v>
      </c>
      <c r="R94" s="17">
        <v>0</v>
      </c>
      <c r="S94" s="19">
        <v>22.9</v>
      </c>
      <c r="T94" s="19">
        <v>11.9</v>
      </c>
    </row>
    <row r="95" spans="1:20" x14ac:dyDescent="0.2">
      <c r="A95" t="s">
        <v>279</v>
      </c>
      <c r="B95" t="s">
        <v>280</v>
      </c>
      <c r="C95" t="s">
        <v>643</v>
      </c>
      <c r="D95" s="19">
        <v>46922</v>
      </c>
      <c r="E95" s="21">
        <v>75.319999999999993</v>
      </c>
      <c r="F95" s="19">
        <v>32676.06378</v>
      </c>
      <c r="G95" s="19">
        <v>260</v>
      </c>
      <c r="H95" s="17">
        <v>0</v>
      </c>
      <c r="I95" s="19">
        <v>1.2821</v>
      </c>
      <c r="J95" s="19">
        <v>1.5599999999999999E-2</v>
      </c>
      <c r="L95" s="19">
        <v>1427</v>
      </c>
      <c r="M95" s="19">
        <v>4.6630000000000003</v>
      </c>
      <c r="N95" s="17">
        <v>0</v>
      </c>
      <c r="O95" s="19">
        <v>2</v>
      </c>
      <c r="P95" s="19">
        <v>47</v>
      </c>
      <c r="Q95" s="19">
        <v>2</v>
      </c>
      <c r="R95" s="19">
        <v>5</v>
      </c>
      <c r="S95" s="19">
        <v>16.899999999999999</v>
      </c>
      <c r="T95" s="19">
        <v>4.5</v>
      </c>
    </row>
    <row r="96" spans="1:20" x14ac:dyDescent="0.2">
      <c r="A96" t="s">
        <v>282</v>
      </c>
      <c r="B96" t="s">
        <v>283</v>
      </c>
      <c r="C96" t="s">
        <v>640</v>
      </c>
      <c r="D96" s="19">
        <v>51667029</v>
      </c>
      <c r="E96" s="21">
        <v>83.7</v>
      </c>
      <c r="F96" s="19">
        <v>54667.24252</v>
      </c>
      <c r="G96" s="19">
        <v>97600</v>
      </c>
      <c r="H96" s="19">
        <v>16.431999999999999</v>
      </c>
      <c r="I96" s="19">
        <v>58.932000000000002</v>
      </c>
      <c r="J96" s="19">
        <v>27.082000000000001</v>
      </c>
      <c r="K96" s="19">
        <v>316600</v>
      </c>
      <c r="L96" s="19">
        <v>1274</v>
      </c>
      <c r="M96" s="19">
        <v>13.528</v>
      </c>
      <c r="N96" s="19">
        <v>3460000</v>
      </c>
      <c r="O96" s="19">
        <v>12</v>
      </c>
      <c r="P96" s="19">
        <v>69</v>
      </c>
      <c r="Q96" s="19">
        <v>34</v>
      </c>
      <c r="R96" s="19">
        <v>38</v>
      </c>
      <c r="S96" s="19">
        <v>17.7</v>
      </c>
      <c r="T96" s="19">
        <v>2.2999999999999998</v>
      </c>
    </row>
    <row r="97" spans="1:20" x14ac:dyDescent="0.2">
      <c r="A97" t="s">
        <v>285</v>
      </c>
      <c r="B97" t="s">
        <v>286</v>
      </c>
      <c r="C97" t="s">
        <v>640</v>
      </c>
      <c r="D97" s="19">
        <v>5026078</v>
      </c>
      <c r="E97" s="21">
        <v>81.709999999999994</v>
      </c>
      <c r="F97" s="19">
        <v>46572.357640000002</v>
      </c>
      <c r="G97" s="19">
        <v>17820</v>
      </c>
      <c r="H97" s="19">
        <v>1.8640000000000001</v>
      </c>
      <c r="I97" s="19">
        <v>62.271999999999998</v>
      </c>
      <c r="J97" s="19">
        <v>1.25</v>
      </c>
      <c r="L97" s="19">
        <v>121</v>
      </c>
      <c r="M97" s="19">
        <v>24.013999999999999</v>
      </c>
      <c r="N97" s="17">
        <v>0</v>
      </c>
      <c r="O97" s="19">
        <v>7</v>
      </c>
      <c r="P97" s="19">
        <v>37</v>
      </c>
      <c r="Q97" s="19">
        <v>11</v>
      </c>
      <c r="R97" s="17">
        <v>0</v>
      </c>
      <c r="S97" s="19">
        <v>17.100000000000001</v>
      </c>
      <c r="T97" s="19">
        <v>3.2</v>
      </c>
    </row>
    <row r="98" spans="1:20" x14ac:dyDescent="0.2">
      <c r="A98" t="s">
        <v>288</v>
      </c>
      <c r="B98" t="s">
        <v>289</v>
      </c>
      <c r="C98" t="s">
        <v>640</v>
      </c>
      <c r="D98" s="19">
        <v>7873046</v>
      </c>
      <c r="E98" s="21">
        <v>66.77</v>
      </c>
      <c r="F98" s="19">
        <v>8943.6911999999993</v>
      </c>
      <c r="G98" s="19">
        <v>230800</v>
      </c>
      <c r="H98" s="19">
        <v>2.3129</v>
      </c>
      <c r="I98" s="19">
        <v>95.918000000000006</v>
      </c>
      <c r="J98" s="19">
        <v>7.35</v>
      </c>
      <c r="L98" s="19">
        <v>1834</v>
      </c>
      <c r="M98" s="19">
        <v>3.3</v>
      </c>
      <c r="N98" s="19">
        <v>1193730</v>
      </c>
      <c r="O98" s="19">
        <v>49</v>
      </c>
      <c r="P98" s="19">
        <v>56</v>
      </c>
      <c r="Q98" s="19">
        <v>30</v>
      </c>
      <c r="R98" s="19">
        <v>80</v>
      </c>
      <c r="S98" s="19">
        <v>18.8</v>
      </c>
    </row>
    <row r="99" spans="1:20" x14ac:dyDescent="0.2">
      <c r="A99" t="s">
        <v>291</v>
      </c>
      <c r="B99" t="s">
        <v>292</v>
      </c>
      <c r="C99" t="s">
        <v>640</v>
      </c>
      <c r="D99" s="19">
        <v>5849421</v>
      </c>
      <c r="E99" s="21">
        <v>79.31</v>
      </c>
      <c r="F99" s="19">
        <v>10819.79651</v>
      </c>
      <c r="G99" s="19">
        <v>10230</v>
      </c>
      <c r="H99" s="19">
        <v>48.912999999999997</v>
      </c>
      <c r="I99" s="19">
        <v>38.042999999999999</v>
      </c>
      <c r="J99" s="19">
        <v>1.84</v>
      </c>
      <c r="K99" s="19">
        <v>72140</v>
      </c>
      <c r="L99" s="19">
        <v>661</v>
      </c>
      <c r="M99" s="19">
        <v>3.92</v>
      </c>
      <c r="N99" s="17">
        <v>0</v>
      </c>
      <c r="O99" s="19">
        <v>10</v>
      </c>
      <c r="P99" s="19">
        <v>43</v>
      </c>
      <c r="Q99" s="19">
        <v>12</v>
      </c>
      <c r="R99" s="19">
        <v>100</v>
      </c>
      <c r="S99" s="19">
        <v>13</v>
      </c>
      <c r="T99" s="19">
        <v>0.2</v>
      </c>
    </row>
    <row r="100" spans="1:20" x14ac:dyDescent="0.2">
      <c r="A100" t="s">
        <v>294</v>
      </c>
      <c r="B100" t="s">
        <v>295</v>
      </c>
      <c r="C100" t="s">
        <v>641</v>
      </c>
      <c r="D100" s="19">
        <v>5731206</v>
      </c>
      <c r="E100" s="21">
        <v>61.9</v>
      </c>
      <c r="F100" s="19">
        <v>1751.85031</v>
      </c>
      <c r="G100" s="19">
        <v>96320</v>
      </c>
      <c r="H100" s="19">
        <v>36.6</v>
      </c>
      <c r="I100" s="19">
        <v>8.4304000000000006</v>
      </c>
      <c r="J100" s="19">
        <v>0.1459</v>
      </c>
      <c r="L100" s="19">
        <v>2391</v>
      </c>
      <c r="M100" s="19">
        <v>0.35399999999999998</v>
      </c>
      <c r="N100" s="19">
        <v>175000</v>
      </c>
      <c r="O100" s="19">
        <v>26</v>
      </c>
      <c r="P100" s="19">
        <v>93</v>
      </c>
      <c r="Q100" s="19">
        <v>14</v>
      </c>
      <c r="R100" s="19">
        <v>138</v>
      </c>
      <c r="S100" s="19">
        <v>4</v>
      </c>
      <c r="T100" s="19">
        <v>0.1</v>
      </c>
    </row>
    <row r="101" spans="1:20" x14ac:dyDescent="0.2">
      <c r="A101" t="s">
        <v>297</v>
      </c>
      <c r="B101" t="s">
        <v>298</v>
      </c>
      <c r="C101" t="s">
        <v>641</v>
      </c>
      <c r="D101" s="19">
        <v>7458555</v>
      </c>
      <c r="E101" s="21">
        <v>76.069999999999993</v>
      </c>
      <c r="F101" s="19">
        <v>14636.393309999999</v>
      </c>
      <c r="G101" s="19">
        <v>1759540</v>
      </c>
      <c r="H101" s="19">
        <v>4.8026999999999997</v>
      </c>
      <c r="I101" s="19">
        <v>83.19</v>
      </c>
      <c r="J101" s="19">
        <v>5.83</v>
      </c>
      <c r="L101" s="19">
        <v>56</v>
      </c>
      <c r="M101" s="19">
        <v>8.8420000000000005</v>
      </c>
      <c r="N101" s="17">
        <v>0</v>
      </c>
      <c r="O101" s="19">
        <v>11</v>
      </c>
      <c r="P101" s="19">
        <v>51</v>
      </c>
      <c r="Q101" s="19">
        <v>11</v>
      </c>
      <c r="R101" s="19">
        <v>9</v>
      </c>
      <c r="S101" s="19">
        <v>0.1</v>
      </c>
      <c r="T101" s="19">
        <v>0.6</v>
      </c>
    </row>
    <row r="102" spans="1:20" x14ac:dyDescent="0.2">
      <c r="A102" t="s">
        <v>300</v>
      </c>
      <c r="B102" t="s">
        <v>301</v>
      </c>
      <c r="C102" t="s">
        <v>643</v>
      </c>
      <c r="D102" s="19">
        <v>180149</v>
      </c>
      <c r="E102" s="21">
        <v>77.930000000000007</v>
      </c>
      <c r="F102" s="19">
        <v>25491.65151</v>
      </c>
      <c r="G102" s="19">
        <v>610</v>
      </c>
      <c r="H102" s="17">
        <v>0</v>
      </c>
      <c r="I102" s="19">
        <v>70.861999999999995</v>
      </c>
      <c r="J102" s="19">
        <v>4.2900000000000001E-2</v>
      </c>
      <c r="L102" s="19">
        <v>2301</v>
      </c>
      <c r="M102" s="19">
        <v>2.3370000000000002</v>
      </c>
      <c r="N102" s="19">
        <v>17150</v>
      </c>
      <c r="O102" s="19">
        <v>2</v>
      </c>
      <c r="P102" s="19">
        <v>47</v>
      </c>
      <c r="Q102" s="19">
        <v>7</v>
      </c>
      <c r="R102" s="19">
        <v>16</v>
      </c>
      <c r="S102" s="19">
        <v>18.2</v>
      </c>
      <c r="T102" s="19">
        <v>0.3</v>
      </c>
    </row>
    <row r="103" spans="1:20" x14ac:dyDescent="0.2">
      <c r="A103" t="s">
        <v>303</v>
      </c>
      <c r="B103" t="s">
        <v>304</v>
      </c>
      <c r="C103" t="s">
        <v>642</v>
      </c>
      <c r="D103" s="19">
        <v>40128</v>
      </c>
      <c r="E103" s="17">
        <v>0</v>
      </c>
      <c r="G103" s="19">
        <v>160</v>
      </c>
      <c r="M103" s="19">
        <v>3.8919999999999999</v>
      </c>
      <c r="N103" s="19">
        <v>1500</v>
      </c>
      <c r="O103" s="17">
        <v>0</v>
      </c>
      <c r="P103" s="17">
        <v>0</v>
      </c>
      <c r="Q103" s="19">
        <v>3</v>
      </c>
      <c r="R103" s="19">
        <v>1</v>
      </c>
      <c r="S103" s="19">
        <v>44.8</v>
      </c>
    </row>
    <row r="104" spans="1:20" x14ac:dyDescent="0.2">
      <c r="A104" t="s">
        <v>306</v>
      </c>
      <c r="B104" t="s">
        <v>307</v>
      </c>
      <c r="C104" t="s">
        <v>640</v>
      </c>
      <c r="D104" s="19">
        <v>23229470</v>
      </c>
      <c r="E104" s="21">
        <v>77.09</v>
      </c>
      <c r="F104" s="19">
        <v>14379.814700000001</v>
      </c>
      <c r="G104" s="19">
        <v>61860</v>
      </c>
      <c r="H104" s="19">
        <v>6.4189999999999996</v>
      </c>
      <c r="I104" s="19">
        <v>87.363</v>
      </c>
      <c r="J104" s="19">
        <v>12.946</v>
      </c>
      <c r="K104" s="19">
        <v>484400</v>
      </c>
      <c r="L104" s="19">
        <v>1712</v>
      </c>
      <c r="M104" s="19">
        <v>1.758</v>
      </c>
      <c r="N104" s="19">
        <v>167000</v>
      </c>
      <c r="O104" s="19">
        <v>30</v>
      </c>
      <c r="P104" s="19">
        <v>135</v>
      </c>
      <c r="Q104" s="19">
        <v>14</v>
      </c>
      <c r="R104" s="19">
        <v>299</v>
      </c>
      <c r="S104" s="19">
        <v>30.8</v>
      </c>
      <c r="T104" s="19">
        <v>0.3</v>
      </c>
    </row>
    <row r="105" spans="1:20" x14ac:dyDescent="0.2">
      <c r="A105" t="s">
        <v>309</v>
      </c>
      <c r="B105" t="s">
        <v>310</v>
      </c>
      <c r="C105" t="s">
        <v>641</v>
      </c>
      <c r="D105" s="19">
        <v>2363325</v>
      </c>
      <c r="E105" s="21">
        <v>59.11</v>
      </c>
      <c r="F105" s="19">
        <v>2716.1530899999998</v>
      </c>
      <c r="G105" s="19">
        <v>30360</v>
      </c>
      <c r="H105" s="19">
        <v>45.661999999999999</v>
      </c>
      <c r="I105" s="19">
        <v>8.6758000000000006</v>
      </c>
      <c r="J105" s="19">
        <v>4.3799999999999999E-2</v>
      </c>
      <c r="L105" s="19">
        <v>788</v>
      </c>
      <c r="M105" s="19">
        <v>1.379</v>
      </c>
      <c r="N105" s="17">
        <v>0</v>
      </c>
      <c r="O105" s="19">
        <v>4</v>
      </c>
      <c r="P105" s="19">
        <v>1</v>
      </c>
      <c r="Q105" s="19">
        <v>9</v>
      </c>
      <c r="R105" s="19">
        <v>5</v>
      </c>
      <c r="S105" s="19">
        <v>23.4</v>
      </c>
    </row>
    <row r="106" spans="1:20" x14ac:dyDescent="0.2">
      <c r="A106" t="s">
        <v>312</v>
      </c>
      <c r="B106" t="s">
        <v>313</v>
      </c>
      <c r="C106" t="s">
        <v>642</v>
      </c>
      <c r="D106" s="19">
        <v>2830144</v>
      </c>
      <c r="E106" s="21">
        <v>77.099999999999994</v>
      </c>
      <c r="F106" s="19">
        <v>49761.397949999999</v>
      </c>
      <c r="G106" s="19">
        <v>62600</v>
      </c>
      <c r="H106" s="19">
        <v>29.285</v>
      </c>
      <c r="I106" s="19">
        <v>19.556999999999999</v>
      </c>
      <c r="J106" s="19">
        <v>0.30036000000000002</v>
      </c>
      <c r="K106" s="19">
        <v>46430</v>
      </c>
      <c r="L106" s="19">
        <v>656</v>
      </c>
      <c r="M106" s="19">
        <v>7.2119999999999997</v>
      </c>
      <c r="N106" s="19">
        <v>26000</v>
      </c>
      <c r="O106" s="19">
        <v>1</v>
      </c>
      <c r="P106" s="19">
        <v>6</v>
      </c>
      <c r="Q106" s="19">
        <v>11</v>
      </c>
      <c r="R106" s="19">
        <v>2</v>
      </c>
      <c r="S106" s="19">
        <v>18</v>
      </c>
      <c r="T106" s="19">
        <v>23.2</v>
      </c>
    </row>
    <row r="107" spans="1:20" x14ac:dyDescent="0.2">
      <c r="A107" t="s">
        <v>315</v>
      </c>
      <c r="B107" t="s">
        <v>316</v>
      </c>
      <c r="C107" t="s">
        <v>642</v>
      </c>
      <c r="D107" s="19">
        <v>680453</v>
      </c>
      <c r="E107" s="21">
        <v>83.6</v>
      </c>
      <c r="F107" s="19">
        <v>131037.52370000001</v>
      </c>
      <c r="G107" s="19">
        <v>2574.46</v>
      </c>
      <c r="H107" s="19">
        <v>3.8332999999999999</v>
      </c>
      <c r="I107" s="19">
        <v>1.0264</v>
      </c>
      <c r="J107" s="19">
        <v>4.7739999999999998E-2</v>
      </c>
      <c r="K107" s="19">
        <v>9286</v>
      </c>
      <c r="L107" s="19">
        <v>934</v>
      </c>
      <c r="M107" s="19">
        <v>12.691000000000001</v>
      </c>
      <c r="N107" s="17">
        <v>0</v>
      </c>
      <c r="O107" s="17">
        <v>0</v>
      </c>
      <c r="P107" s="19">
        <v>1</v>
      </c>
      <c r="Q107" s="19">
        <v>3</v>
      </c>
      <c r="R107" s="19">
        <v>3</v>
      </c>
      <c r="S107" s="19">
        <v>39.1</v>
      </c>
    </row>
    <row r="108" spans="1:20" x14ac:dyDescent="0.2">
      <c r="A108" t="s">
        <v>318</v>
      </c>
      <c r="B108" t="s">
        <v>319</v>
      </c>
      <c r="C108" t="s">
        <v>642</v>
      </c>
      <c r="D108" s="19">
        <v>1853559</v>
      </c>
      <c r="E108" s="21">
        <v>76.2</v>
      </c>
      <c r="F108" s="19">
        <v>40852.07026</v>
      </c>
      <c r="G108" s="19">
        <v>62230</v>
      </c>
      <c r="H108" s="19">
        <v>17.577000000000002</v>
      </c>
      <c r="I108" s="19">
        <v>29.07</v>
      </c>
      <c r="J108" s="19">
        <v>0.17233000000000001</v>
      </c>
      <c r="K108" s="19">
        <v>302700</v>
      </c>
      <c r="L108" s="19">
        <v>667</v>
      </c>
      <c r="M108" s="19">
        <v>7.5709999999999997</v>
      </c>
      <c r="N108" s="19">
        <v>16000</v>
      </c>
      <c r="O108" s="19">
        <v>1</v>
      </c>
      <c r="P108" s="19">
        <v>6</v>
      </c>
      <c r="Q108" s="19">
        <v>13</v>
      </c>
      <c r="R108" s="19">
        <v>1</v>
      </c>
      <c r="S108" s="19">
        <v>18.8</v>
      </c>
      <c r="T108" s="19">
        <v>16.399999999999999</v>
      </c>
    </row>
    <row r="109" spans="1:20" x14ac:dyDescent="0.2">
      <c r="A109" t="s">
        <v>321</v>
      </c>
      <c r="B109" t="s">
        <v>322</v>
      </c>
      <c r="C109" t="s">
        <v>641</v>
      </c>
      <c r="D109" s="19">
        <v>38430770</v>
      </c>
      <c r="E109" s="21">
        <v>73.58</v>
      </c>
      <c r="F109" s="19">
        <v>9582.5071599999992</v>
      </c>
      <c r="G109" s="19">
        <v>446300</v>
      </c>
      <c r="H109" s="19">
        <v>2.0324</v>
      </c>
      <c r="I109" s="19">
        <v>87.777000000000001</v>
      </c>
      <c r="J109" s="19">
        <v>10.430999999999999</v>
      </c>
      <c r="K109" s="19">
        <v>298200</v>
      </c>
      <c r="L109" s="19">
        <v>346</v>
      </c>
      <c r="M109" s="19">
        <v>2.0009999999999999</v>
      </c>
      <c r="N109" s="17">
        <v>0</v>
      </c>
      <c r="O109" s="19">
        <v>19</v>
      </c>
      <c r="P109" s="19">
        <v>85</v>
      </c>
      <c r="Q109" s="19">
        <v>22</v>
      </c>
      <c r="R109" s="19">
        <v>57</v>
      </c>
      <c r="S109" s="19">
        <v>2.1</v>
      </c>
      <c r="T109" s="19">
        <v>0.3</v>
      </c>
    </row>
    <row r="110" spans="1:20" x14ac:dyDescent="0.2">
      <c r="A110" t="s">
        <v>324</v>
      </c>
      <c r="B110" t="s">
        <v>325</v>
      </c>
      <c r="C110" t="s">
        <v>642</v>
      </c>
      <c r="D110" s="19">
        <v>38341</v>
      </c>
      <c r="E110" s="21">
        <v>80.680000000000007</v>
      </c>
      <c r="F110" s="19">
        <v>475911.33519999997</v>
      </c>
      <c r="G110" s="19">
        <v>2.0840000000000001</v>
      </c>
      <c r="H110" s="17">
        <v>0</v>
      </c>
      <c r="I110" s="17" t="e">
        <v>#REF!</v>
      </c>
      <c r="J110" s="19">
        <v>5.0000000000000001E-3</v>
      </c>
      <c r="O110" s="19">
        <v>4</v>
      </c>
      <c r="P110" s="19">
        <v>37</v>
      </c>
      <c r="Q110" s="17">
        <v>0</v>
      </c>
      <c r="R110" s="19">
        <v>2</v>
      </c>
      <c r="S110" s="19">
        <v>20.9</v>
      </c>
      <c r="T110" s="19">
        <v>100</v>
      </c>
    </row>
    <row r="111" spans="1:20" x14ac:dyDescent="0.2">
      <c r="A111" t="s">
        <v>327</v>
      </c>
      <c r="B111" t="s">
        <v>328</v>
      </c>
      <c r="C111" t="s">
        <v>642</v>
      </c>
      <c r="D111" s="19">
        <v>2996106</v>
      </c>
      <c r="E111" s="21">
        <v>76.430000000000007</v>
      </c>
      <c r="F111" s="19">
        <v>17488.863010000001</v>
      </c>
      <c r="G111" s="19">
        <v>32930</v>
      </c>
      <c r="H111" s="19">
        <v>73.058000000000007</v>
      </c>
      <c r="I111" s="19">
        <v>6.8921999999999999</v>
      </c>
      <c r="J111" s="19">
        <v>0.79800000000000004</v>
      </c>
      <c r="K111" s="19">
        <v>6793</v>
      </c>
      <c r="L111" s="19">
        <v>450</v>
      </c>
      <c r="M111" s="19">
        <v>1.252</v>
      </c>
      <c r="N111" s="17">
        <v>0</v>
      </c>
      <c r="O111" s="19">
        <v>6</v>
      </c>
      <c r="P111" s="19">
        <v>8</v>
      </c>
      <c r="Q111" s="19">
        <v>12</v>
      </c>
      <c r="R111" s="19">
        <v>2</v>
      </c>
      <c r="S111" s="19">
        <v>11.5</v>
      </c>
    </row>
    <row r="112" spans="1:20" x14ac:dyDescent="0.2">
      <c r="A112" t="s">
        <v>330</v>
      </c>
      <c r="B112" t="s">
        <v>331</v>
      </c>
      <c r="C112" t="s">
        <v>641</v>
      </c>
      <c r="D112" s="19">
        <v>32740678</v>
      </c>
      <c r="E112" s="21">
        <v>63.19</v>
      </c>
      <c r="F112" s="19">
        <v>1720.26523</v>
      </c>
      <c r="G112" s="19">
        <v>581800</v>
      </c>
      <c r="H112" s="19">
        <v>1.1941999999999999</v>
      </c>
      <c r="I112" s="19">
        <v>95.891999999999996</v>
      </c>
      <c r="J112" s="19">
        <v>13.557</v>
      </c>
      <c r="L112" s="19">
        <v>1513</v>
      </c>
      <c r="M112" s="19">
        <v>0.20899999999999999</v>
      </c>
      <c r="N112" s="19">
        <v>2993000</v>
      </c>
      <c r="O112" s="19">
        <v>133</v>
      </c>
      <c r="P112" s="19">
        <v>127</v>
      </c>
      <c r="Q112" s="19">
        <v>37</v>
      </c>
      <c r="R112" s="19">
        <v>2894</v>
      </c>
      <c r="S112" s="19">
        <v>12.8</v>
      </c>
      <c r="T112" s="19">
        <v>1.4</v>
      </c>
    </row>
    <row r="113" spans="1:20" x14ac:dyDescent="0.2">
      <c r="A113" t="s">
        <v>333</v>
      </c>
      <c r="B113" t="s">
        <v>334</v>
      </c>
      <c r="C113" t="s">
        <v>640</v>
      </c>
      <c r="D113" s="19">
        <v>529676</v>
      </c>
      <c r="E113" s="21">
        <v>76.760000000000005</v>
      </c>
      <c r="F113" s="19">
        <v>24629.315920000001</v>
      </c>
      <c r="G113" s="19">
        <v>298</v>
      </c>
      <c r="H113" s="19">
        <v>5.0846999999999998</v>
      </c>
      <c r="I113" s="19">
        <v>4.5457000000000001</v>
      </c>
      <c r="J113" s="19">
        <v>5.8999999999999999E-3</v>
      </c>
      <c r="L113" s="19">
        <v>1972</v>
      </c>
      <c r="M113" s="19">
        <v>3.3069999999999999</v>
      </c>
      <c r="N113" s="17">
        <v>0</v>
      </c>
      <c r="O113" s="19">
        <v>2</v>
      </c>
      <c r="P113" s="19">
        <v>41</v>
      </c>
      <c r="Q113" s="17">
        <v>0</v>
      </c>
      <c r="R113" s="17">
        <v>0</v>
      </c>
      <c r="S113" s="19">
        <v>3</v>
      </c>
      <c r="T113" s="19">
        <v>0.1</v>
      </c>
    </row>
    <row r="114" spans="1:20" x14ac:dyDescent="0.2">
      <c r="A114" t="s">
        <v>336</v>
      </c>
      <c r="B114" t="s">
        <v>337</v>
      </c>
      <c r="C114" t="s">
        <v>643</v>
      </c>
      <c r="D114" s="19">
        <v>131946900</v>
      </c>
      <c r="E114" s="21">
        <v>76.81</v>
      </c>
      <c r="F114" s="19">
        <v>22374.76858</v>
      </c>
      <c r="G114" s="19">
        <v>1943950</v>
      </c>
      <c r="H114" s="19">
        <v>8.8558000000000003</v>
      </c>
      <c r="I114" s="19">
        <v>76.301000000000002</v>
      </c>
      <c r="J114" s="19">
        <v>89.805999999999997</v>
      </c>
      <c r="K114" s="19">
        <v>3192000</v>
      </c>
      <c r="L114" s="19">
        <v>758</v>
      </c>
      <c r="M114" s="19">
        <v>3.6419999999999999</v>
      </c>
      <c r="N114" s="19">
        <v>33056000</v>
      </c>
      <c r="O114" s="19">
        <v>97</v>
      </c>
      <c r="P114" s="19">
        <v>308</v>
      </c>
      <c r="Q114" s="19">
        <v>68</v>
      </c>
      <c r="R114" s="19">
        <v>1426</v>
      </c>
      <c r="S114" s="19">
        <v>15.3</v>
      </c>
      <c r="T114" s="19">
        <v>22.6</v>
      </c>
    </row>
    <row r="115" spans="1:20" x14ac:dyDescent="0.2">
      <c r="A115" t="s">
        <v>339</v>
      </c>
      <c r="B115" t="s">
        <v>340</v>
      </c>
      <c r="C115" t="s">
        <v>640</v>
      </c>
      <c r="D115" s="19">
        <v>36282</v>
      </c>
      <c r="E115" s="21">
        <v>64.48</v>
      </c>
      <c r="F115" s="19">
        <v>7990.5793199999998</v>
      </c>
      <c r="G115" s="19">
        <v>180</v>
      </c>
      <c r="M115" s="19">
        <v>2.7930000000000001</v>
      </c>
      <c r="N115" s="19">
        <v>8186</v>
      </c>
      <c r="O115" s="19">
        <v>1</v>
      </c>
      <c r="P115" s="19">
        <v>27</v>
      </c>
      <c r="Q115" s="19">
        <v>5</v>
      </c>
      <c r="R115" s="17">
        <v>0</v>
      </c>
      <c r="S115" s="19">
        <v>16.100000000000001</v>
      </c>
      <c r="T115" s="19">
        <v>0.3</v>
      </c>
    </row>
    <row r="116" spans="1:20" x14ac:dyDescent="0.2">
      <c r="A116" t="s">
        <v>342</v>
      </c>
      <c r="B116" t="s">
        <v>343</v>
      </c>
      <c r="C116" t="s">
        <v>642</v>
      </c>
      <c r="D116" s="19">
        <v>1813791</v>
      </c>
      <c r="E116" s="21">
        <v>77.400000000000006</v>
      </c>
      <c r="F116" s="19">
        <v>26049.020919999999</v>
      </c>
      <c r="G116" s="19">
        <v>25220</v>
      </c>
      <c r="H116" s="19">
        <v>1.4524999999999999</v>
      </c>
      <c r="I116" s="19">
        <v>6.4010999999999996</v>
      </c>
      <c r="J116" s="19">
        <v>2.1715</v>
      </c>
      <c r="K116" s="19">
        <v>208900</v>
      </c>
      <c r="L116" s="19">
        <v>619</v>
      </c>
      <c r="M116" s="19">
        <v>3.5089999999999999</v>
      </c>
      <c r="N116" s="17">
        <v>0</v>
      </c>
      <c r="O116" s="19">
        <v>7</v>
      </c>
      <c r="P116" s="19">
        <v>13</v>
      </c>
      <c r="Q116" s="19">
        <v>14</v>
      </c>
      <c r="R116" s="19">
        <v>6</v>
      </c>
      <c r="S116" s="19">
        <v>29</v>
      </c>
    </row>
    <row r="117" spans="1:20" x14ac:dyDescent="0.2">
      <c r="A117" t="s">
        <v>345</v>
      </c>
      <c r="B117" t="s">
        <v>346</v>
      </c>
      <c r="C117" t="s">
        <v>641</v>
      </c>
      <c r="D117" s="19">
        <v>25198821</v>
      </c>
      <c r="E117" s="21">
        <v>64.34</v>
      </c>
      <c r="F117" s="19">
        <v>3038.49667</v>
      </c>
      <c r="G117" s="19">
        <v>1220190</v>
      </c>
      <c r="H117" s="19">
        <v>7.7130000000000004E-2</v>
      </c>
      <c r="I117" s="19">
        <v>97.86</v>
      </c>
      <c r="J117" s="19">
        <v>5.1859999999999999</v>
      </c>
      <c r="L117" s="19">
        <v>282</v>
      </c>
      <c r="M117" s="19">
        <v>0.20399999999999999</v>
      </c>
      <c r="N117" s="17">
        <v>0</v>
      </c>
      <c r="O117" s="19">
        <v>14</v>
      </c>
      <c r="P117" s="19">
        <v>1</v>
      </c>
      <c r="Q117" s="19">
        <v>20</v>
      </c>
      <c r="R117" s="19">
        <v>29</v>
      </c>
      <c r="S117" s="19">
        <v>7.5</v>
      </c>
    </row>
    <row r="118" spans="1:20" x14ac:dyDescent="0.2">
      <c r="A118" t="s">
        <v>348</v>
      </c>
      <c r="B118" t="s">
        <v>349</v>
      </c>
      <c r="C118" t="s">
        <v>642</v>
      </c>
      <c r="D118" s="19">
        <v>545405</v>
      </c>
      <c r="E118" s="21">
        <v>83.5</v>
      </c>
      <c r="F118" s="19">
        <v>63314.49955</v>
      </c>
      <c r="G118" s="19">
        <v>320</v>
      </c>
      <c r="H118" s="19">
        <v>1.6167</v>
      </c>
      <c r="I118" s="19">
        <v>34.529000000000003</v>
      </c>
      <c r="J118" s="19">
        <v>6.1859999999999998E-2</v>
      </c>
      <c r="L118" s="19">
        <v>560</v>
      </c>
      <c r="M118" s="19">
        <v>17.338000000000001</v>
      </c>
      <c r="N118" s="17">
        <v>0</v>
      </c>
      <c r="O118" s="19">
        <v>3</v>
      </c>
      <c r="P118" s="19">
        <v>43</v>
      </c>
      <c r="Q118" s="19">
        <v>6</v>
      </c>
      <c r="R118" s="19">
        <v>4</v>
      </c>
      <c r="S118" s="19">
        <v>29</v>
      </c>
      <c r="T118" s="19">
        <v>7.8</v>
      </c>
    </row>
    <row r="119" spans="1:20" x14ac:dyDescent="0.2">
      <c r="A119" t="s">
        <v>351</v>
      </c>
      <c r="B119" t="s">
        <v>352</v>
      </c>
      <c r="C119" t="s">
        <v>640</v>
      </c>
      <c r="D119" s="19">
        <v>54850648</v>
      </c>
      <c r="E119" s="21">
        <v>65.989999999999995</v>
      </c>
      <c r="F119" s="19">
        <v>5493.9541900000004</v>
      </c>
      <c r="G119" s="19">
        <v>652670</v>
      </c>
      <c r="H119" s="19">
        <v>1.4925999999999999</v>
      </c>
      <c r="I119" s="19">
        <v>88.555999999999997</v>
      </c>
      <c r="J119" s="19">
        <v>33.390999999999998</v>
      </c>
      <c r="K119" s="19">
        <v>439000</v>
      </c>
      <c r="L119" s="19">
        <v>2091</v>
      </c>
      <c r="M119" s="19">
        <v>0.54900000000000004</v>
      </c>
      <c r="N119" s="19">
        <v>3192000</v>
      </c>
      <c r="O119" s="19">
        <v>54</v>
      </c>
      <c r="P119" s="19">
        <v>98</v>
      </c>
      <c r="Q119" s="19">
        <v>57</v>
      </c>
      <c r="R119" s="19">
        <v>110</v>
      </c>
      <c r="S119" s="19">
        <v>6.7</v>
      </c>
      <c r="T119" s="19">
        <v>0.6</v>
      </c>
    </row>
    <row r="120" spans="1:20" x14ac:dyDescent="0.2">
      <c r="A120" t="s">
        <v>354</v>
      </c>
      <c r="B120" t="s">
        <v>355</v>
      </c>
      <c r="C120" t="s">
        <v>642</v>
      </c>
      <c r="D120" s="19">
        <v>632729</v>
      </c>
      <c r="E120" s="21">
        <v>77.599999999999994</v>
      </c>
      <c r="F120" s="19">
        <v>29492.079229999999</v>
      </c>
      <c r="G120" s="19">
        <v>13450</v>
      </c>
      <c r="H120" s="19">
        <v>94.197000000000003</v>
      </c>
      <c r="I120" s="19">
        <v>0.30629000000000001</v>
      </c>
      <c r="J120" s="19">
        <v>2.2069999999999999</v>
      </c>
      <c r="K120" s="19">
        <v>236500</v>
      </c>
      <c r="M120" s="19">
        <v>3.1659999999999999</v>
      </c>
      <c r="N120" s="19">
        <v>109000</v>
      </c>
      <c r="O120" s="19">
        <v>7</v>
      </c>
      <c r="P120" s="19">
        <v>52</v>
      </c>
      <c r="Q120" s="19">
        <v>13</v>
      </c>
      <c r="R120" s="19">
        <v>6</v>
      </c>
      <c r="S120" s="19">
        <v>22.2</v>
      </c>
      <c r="T120" s="19">
        <v>5.3</v>
      </c>
    </row>
    <row r="121" spans="1:20" x14ac:dyDescent="0.2">
      <c r="A121" t="s">
        <v>357</v>
      </c>
      <c r="B121" t="s">
        <v>358</v>
      </c>
      <c r="C121" t="s">
        <v>640</v>
      </c>
      <c r="D121" s="19">
        <v>3517100</v>
      </c>
      <c r="E121" s="21">
        <v>73.92</v>
      </c>
      <c r="F121" s="19">
        <v>18091.880700000002</v>
      </c>
      <c r="G121" s="19">
        <v>1558499.7860000001</v>
      </c>
      <c r="H121" s="19">
        <v>35.942999999999998</v>
      </c>
      <c r="I121" s="19">
        <v>54.26</v>
      </c>
      <c r="J121" s="19">
        <v>0.46239999999999998</v>
      </c>
      <c r="L121" s="19">
        <v>241</v>
      </c>
      <c r="M121" s="19">
        <v>14.234999999999999</v>
      </c>
      <c r="N121" s="19">
        <v>12551600</v>
      </c>
      <c r="O121" s="19">
        <v>11</v>
      </c>
      <c r="P121" s="19">
        <v>1</v>
      </c>
      <c r="Q121" s="19">
        <v>24</v>
      </c>
      <c r="R121" s="17">
        <v>0</v>
      </c>
      <c r="S121" s="19">
        <v>19.8</v>
      </c>
    </row>
    <row r="122" spans="1:20" x14ac:dyDescent="0.2">
      <c r="A122" t="s">
        <v>360</v>
      </c>
      <c r="B122" t="s">
        <v>361</v>
      </c>
      <c r="C122" t="s">
        <v>641</v>
      </c>
      <c r="D122" s="19">
        <v>35631653</v>
      </c>
      <c r="E122" s="21">
        <v>65.41</v>
      </c>
      <c r="F122" s="19">
        <v>1530.9146499999999</v>
      </c>
      <c r="G122" s="19">
        <v>786380</v>
      </c>
      <c r="H122" s="19">
        <v>1.6972</v>
      </c>
      <c r="I122" s="19">
        <v>73.048000000000002</v>
      </c>
      <c r="J122" s="19">
        <v>1.4730000000000001</v>
      </c>
      <c r="K122" s="19">
        <v>1431000</v>
      </c>
      <c r="L122" s="19">
        <v>1032</v>
      </c>
      <c r="M122" s="19">
        <v>0.45600000000000002</v>
      </c>
      <c r="N122" s="17">
        <v>0</v>
      </c>
      <c r="O122" s="19">
        <v>19</v>
      </c>
      <c r="P122" s="19">
        <v>105</v>
      </c>
      <c r="Q122" s="19">
        <v>32</v>
      </c>
      <c r="R122" s="19">
        <v>283</v>
      </c>
      <c r="S122" s="19">
        <v>29.5</v>
      </c>
      <c r="T122" s="19">
        <v>2.1</v>
      </c>
    </row>
    <row r="123" spans="1:20" x14ac:dyDescent="0.2">
      <c r="A123" t="s">
        <v>363</v>
      </c>
      <c r="B123" t="s">
        <v>364</v>
      </c>
      <c r="C123" t="s">
        <v>641</v>
      </c>
      <c r="D123" s="19">
        <v>5315065</v>
      </c>
      <c r="E123" s="21">
        <v>68.8</v>
      </c>
      <c r="F123" s="19">
        <v>6709.9629400000003</v>
      </c>
      <c r="G123" s="19">
        <v>1030700</v>
      </c>
      <c r="H123" s="19">
        <v>2.3552</v>
      </c>
      <c r="I123" s="19">
        <v>90.578999999999994</v>
      </c>
      <c r="J123" s="19">
        <v>1.3502000000000001</v>
      </c>
      <c r="L123" s="19">
        <v>92</v>
      </c>
      <c r="M123" s="19">
        <v>0.66100000000000003</v>
      </c>
      <c r="N123" s="17">
        <v>0</v>
      </c>
      <c r="O123" s="19">
        <v>18</v>
      </c>
      <c r="P123" s="19">
        <v>78</v>
      </c>
      <c r="Q123" s="19">
        <v>24</v>
      </c>
      <c r="R123" s="19">
        <v>1</v>
      </c>
      <c r="S123" s="19">
        <v>0.6</v>
      </c>
      <c r="T123" s="19">
        <v>3.7</v>
      </c>
    </row>
    <row r="124" spans="1:20" x14ac:dyDescent="0.2">
      <c r="A124" t="s">
        <v>366</v>
      </c>
      <c r="B124" t="s">
        <v>367</v>
      </c>
      <c r="C124" t="s">
        <v>641</v>
      </c>
      <c r="D124" s="19">
        <v>1268280</v>
      </c>
      <c r="E124" s="21">
        <v>74.290000000000006</v>
      </c>
      <c r="F124" s="19">
        <v>28927.497200000002</v>
      </c>
      <c r="G124" s="19">
        <v>1997</v>
      </c>
      <c r="H124" s="19">
        <v>1.5798000000000001</v>
      </c>
      <c r="I124" s="19">
        <v>47.866999999999997</v>
      </c>
      <c r="J124" s="19">
        <v>0.63300000000000001</v>
      </c>
      <c r="L124" s="19">
        <v>2041</v>
      </c>
      <c r="M124" s="19">
        <v>4.8810000000000002</v>
      </c>
      <c r="N124" s="17">
        <v>0</v>
      </c>
      <c r="O124" s="19">
        <v>7</v>
      </c>
      <c r="P124" s="19">
        <v>30</v>
      </c>
      <c r="Q124" s="19">
        <v>12</v>
      </c>
      <c r="R124" s="19">
        <v>103</v>
      </c>
      <c r="S124" s="19">
        <v>5</v>
      </c>
      <c r="T124" s="17">
        <v>0</v>
      </c>
    </row>
    <row r="125" spans="1:20" x14ac:dyDescent="0.2">
      <c r="A125" t="s">
        <v>369</v>
      </c>
      <c r="B125" t="s">
        <v>370</v>
      </c>
      <c r="C125" t="s">
        <v>641</v>
      </c>
      <c r="D125" s="19">
        <v>22216120</v>
      </c>
      <c r="E125" s="21">
        <v>62.46</v>
      </c>
      <c r="F125" s="19">
        <v>1689.43091</v>
      </c>
      <c r="G125" s="19">
        <v>94280</v>
      </c>
      <c r="H125" s="19">
        <v>3.5156000000000001</v>
      </c>
      <c r="I125" s="19">
        <v>85.938000000000002</v>
      </c>
      <c r="J125" s="19">
        <v>1.3568</v>
      </c>
      <c r="L125" s="19">
        <v>1181</v>
      </c>
      <c r="M125" s="19">
        <v>0.13900000000000001</v>
      </c>
      <c r="N125" s="19">
        <v>845000</v>
      </c>
      <c r="O125" s="19">
        <v>10</v>
      </c>
      <c r="P125" s="19">
        <v>37</v>
      </c>
      <c r="Q125" s="19">
        <v>20</v>
      </c>
      <c r="R125" s="19">
        <v>59</v>
      </c>
      <c r="S125" s="19">
        <v>23.1</v>
      </c>
    </row>
    <row r="126" spans="1:20" x14ac:dyDescent="0.2">
      <c r="A126" t="s">
        <v>372</v>
      </c>
      <c r="B126" t="s">
        <v>373</v>
      </c>
      <c r="C126" t="s">
        <v>640</v>
      </c>
      <c r="D126" s="19">
        <v>35977838</v>
      </c>
      <c r="E126" s="21">
        <v>76.900000000000006</v>
      </c>
      <c r="F126" s="19">
        <v>35989.794880000001</v>
      </c>
      <c r="G126" s="19">
        <v>328550</v>
      </c>
      <c r="H126" s="19">
        <v>29.902000000000001</v>
      </c>
      <c r="I126" s="19">
        <v>45.645000000000003</v>
      </c>
      <c r="J126" s="19">
        <v>5.4880000000000004</v>
      </c>
      <c r="K126" s="19">
        <v>556500</v>
      </c>
      <c r="L126" s="19">
        <v>2875</v>
      </c>
      <c r="M126" s="19">
        <v>7.4969999999999999</v>
      </c>
      <c r="N126" s="19">
        <v>5041000</v>
      </c>
      <c r="O126" s="19">
        <v>80</v>
      </c>
      <c r="P126" s="19">
        <v>183</v>
      </c>
      <c r="Q126" s="19">
        <v>67</v>
      </c>
      <c r="R126" s="19">
        <v>1317</v>
      </c>
      <c r="S126" s="19">
        <v>13.3</v>
      </c>
      <c r="T126" s="19">
        <v>4.8</v>
      </c>
    </row>
    <row r="127" spans="1:20" x14ac:dyDescent="0.2">
      <c r="A127" t="s">
        <v>375</v>
      </c>
      <c r="B127" t="s">
        <v>376</v>
      </c>
      <c r="C127" t="s">
        <v>641</v>
      </c>
      <c r="D127" s="19">
        <v>3092816</v>
      </c>
      <c r="E127" s="21">
        <v>66.790000000000006</v>
      </c>
      <c r="F127" s="19">
        <v>10740.460719999999</v>
      </c>
      <c r="G127" s="19">
        <v>823290</v>
      </c>
      <c r="H127" s="19">
        <v>6.6185999999999998</v>
      </c>
      <c r="I127" s="19">
        <v>71.484999999999999</v>
      </c>
      <c r="J127" s="19">
        <v>0.28117999999999999</v>
      </c>
      <c r="K127" s="19">
        <v>108700</v>
      </c>
      <c r="L127" s="19">
        <v>285</v>
      </c>
      <c r="M127" s="19">
        <v>3.9660000000000002</v>
      </c>
      <c r="N127" s="17">
        <v>0</v>
      </c>
      <c r="O127" s="19">
        <v>15</v>
      </c>
      <c r="P127" s="19">
        <v>47</v>
      </c>
      <c r="Q127" s="19">
        <v>33</v>
      </c>
      <c r="R127" s="19">
        <v>49</v>
      </c>
      <c r="S127" s="19">
        <v>39.9</v>
      </c>
      <c r="T127" s="19">
        <v>1.7</v>
      </c>
    </row>
    <row r="128" spans="1:20" x14ac:dyDescent="0.2">
      <c r="A128" t="s">
        <v>378</v>
      </c>
      <c r="B128" t="s">
        <v>379</v>
      </c>
      <c r="C128" t="s">
        <v>641</v>
      </c>
      <c r="D128" s="19">
        <v>27917831</v>
      </c>
      <c r="E128" s="21">
        <v>59.88</v>
      </c>
      <c r="F128" s="19">
        <v>1870.05045</v>
      </c>
      <c r="G128" s="19">
        <v>1266700</v>
      </c>
      <c r="H128" s="19">
        <v>1.4963</v>
      </c>
      <c r="I128" s="19">
        <v>91.022999999999996</v>
      </c>
      <c r="J128" s="19">
        <v>2.5832999999999999</v>
      </c>
      <c r="L128" s="19">
        <v>151</v>
      </c>
      <c r="M128" s="19">
        <v>0.113</v>
      </c>
      <c r="N128" s="19">
        <v>220000</v>
      </c>
      <c r="O128" s="19">
        <v>14</v>
      </c>
      <c r="P128" s="19">
        <v>3</v>
      </c>
      <c r="Q128" s="19">
        <v>16</v>
      </c>
      <c r="R128" s="19">
        <v>4</v>
      </c>
      <c r="S128" s="19">
        <v>21</v>
      </c>
    </row>
    <row r="129" spans="1:20" x14ac:dyDescent="0.2">
      <c r="A129" t="s">
        <v>381</v>
      </c>
      <c r="B129" t="s">
        <v>382</v>
      </c>
      <c r="C129" t="s">
        <v>641</v>
      </c>
      <c r="D129" s="19">
        <v>237527782</v>
      </c>
      <c r="E129" s="21">
        <v>65.09</v>
      </c>
      <c r="F129" s="19">
        <v>5848.0815700000003</v>
      </c>
      <c r="G129" s="19">
        <v>910770</v>
      </c>
      <c r="H129" s="19">
        <v>15.752000000000001</v>
      </c>
      <c r="I129" s="19">
        <v>44.167999999999999</v>
      </c>
      <c r="J129" s="19">
        <v>12.475</v>
      </c>
      <c r="K129" s="19">
        <v>548100</v>
      </c>
      <c r="L129" s="19">
        <v>1150</v>
      </c>
      <c r="M129" s="19">
        <v>0.69199999999999995</v>
      </c>
      <c r="N129" s="19">
        <v>20000</v>
      </c>
      <c r="O129" s="19">
        <v>35</v>
      </c>
      <c r="P129" s="19">
        <v>102</v>
      </c>
      <c r="Q129" s="19">
        <v>23</v>
      </c>
      <c r="R129" s="19">
        <v>256</v>
      </c>
      <c r="S129" s="19">
        <v>13.9</v>
      </c>
      <c r="T129" s="17">
        <v>0</v>
      </c>
    </row>
    <row r="130" spans="1:20" x14ac:dyDescent="0.2">
      <c r="A130" t="s">
        <v>384</v>
      </c>
      <c r="B130" t="s">
        <v>385</v>
      </c>
      <c r="C130" t="s">
        <v>643</v>
      </c>
      <c r="D130" s="19">
        <v>7007502</v>
      </c>
      <c r="E130" s="21">
        <v>77.209999999999994</v>
      </c>
      <c r="F130" s="19">
        <v>8023.4063299999998</v>
      </c>
      <c r="G130" s="19">
        <v>120340</v>
      </c>
      <c r="H130" s="19">
        <v>4.8669999999999998E-2</v>
      </c>
      <c r="I130" s="19">
        <v>85.045000000000002</v>
      </c>
      <c r="J130" s="19">
        <v>1.2746</v>
      </c>
      <c r="K130" s="19">
        <v>43340</v>
      </c>
      <c r="L130" s="19">
        <v>2280</v>
      </c>
      <c r="M130" s="19">
        <v>0.94399999999999995</v>
      </c>
      <c r="N130" s="19">
        <v>1234000</v>
      </c>
      <c r="O130" s="19">
        <v>9</v>
      </c>
      <c r="P130" s="19">
        <v>97</v>
      </c>
      <c r="Q130" s="19">
        <v>19</v>
      </c>
      <c r="R130" s="19">
        <v>119</v>
      </c>
      <c r="S130" s="19">
        <v>21.2</v>
      </c>
      <c r="T130" s="19">
        <v>3.6</v>
      </c>
    </row>
    <row r="131" spans="1:20" x14ac:dyDescent="0.2">
      <c r="A131" t="s">
        <v>387</v>
      </c>
      <c r="B131" t="s">
        <v>388</v>
      </c>
      <c r="C131" t="s">
        <v>642</v>
      </c>
      <c r="D131" s="19">
        <v>18346819</v>
      </c>
      <c r="E131" s="21">
        <v>82.4</v>
      </c>
      <c r="F131" s="19">
        <v>73384.140799999994</v>
      </c>
      <c r="G131" s="19">
        <v>33670</v>
      </c>
      <c r="H131" s="19">
        <v>70.248999999999995</v>
      </c>
      <c r="I131" s="19">
        <v>3.2193000000000001</v>
      </c>
      <c r="J131" s="19">
        <v>8.2342999999999993</v>
      </c>
      <c r="K131" s="19">
        <v>9028</v>
      </c>
      <c r="L131" s="19">
        <v>778</v>
      </c>
      <c r="M131" s="19">
        <v>8.7690000000000001</v>
      </c>
      <c r="N131" s="17">
        <v>0</v>
      </c>
      <c r="O131" s="19">
        <v>4</v>
      </c>
      <c r="P131" s="19">
        <v>22</v>
      </c>
      <c r="Q131" s="19">
        <v>10</v>
      </c>
      <c r="R131" s="19">
        <v>3</v>
      </c>
      <c r="S131" s="19">
        <v>22.9</v>
      </c>
      <c r="T131" s="19">
        <v>33.5</v>
      </c>
    </row>
    <row r="132" spans="1:20" x14ac:dyDescent="0.2">
      <c r="A132" t="s">
        <v>390</v>
      </c>
      <c r="B132" t="s">
        <v>391</v>
      </c>
      <c r="C132" t="s">
        <v>642</v>
      </c>
      <c r="D132" s="19">
        <v>5623071</v>
      </c>
      <c r="E132" s="21">
        <v>83.5</v>
      </c>
      <c r="F132" s="19">
        <v>94895.854330000002</v>
      </c>
      <c r="G132" s="19">
        <v>364270</v>
      </c>
      <c r="H132" s="19">
        <v>39.823999999999998</v>
      </c>
      <c r="I132" s="19">
        <v>31.417000000000002</v>
      </c>
      <c r="J132" s="19">
        <v>2.6892999999999998</v>
      </c>
      <c r="K132" s="19">
        <v>10110000</v>
      </c>
      <c r="L132" s="19">
        <v>1414</v>
      </c>
      <c r="M132" s="19">
        <v>8.7159999999999993</v>
      </c>
      <c r="N132" s="19">
        <v>160000</v>
      </c>
      <c r="O132" s="19">
        <v>8</v>
      </c>
      <c r="P132" s="19">
        <v>32</v>
      </c>
      <c r="Q132" s="19">
        <v>11</v>
      </c>
      <c r="R132" s="19">
        <v>20</v>
      </c>
      <c r="S132" s="19">
        <v>17.8</v>
      </c>
      <c r="T132" s="19">
        <v>1</v>
      </c>
    </row>
    <row r="133" spans="1:20" x14ac:dyDescent="0.2">
      <c r="A133" t="s">
        <v>393</v>
      </c>
      <c r="B133" t="s">
        <v>394</v>
      </c>
      <c r="C133" t="s">
        <v>640</v>
      </c>
      <c r="D133" s="19">
        <v>29618118</v>
      </c>
      <c r="E133" s="21">
        <v>74.34</v>
      </c>
      <c r="F133" s="19">
        <v>5329.63699</v>
      </c>
      <c r="G133" s="19">
        <v>143350</v>
      </c>
      <c r="H133" s="19">
        <v>0.31062000000000001</v>
      </c>
      <c r="I133" s="19">
        <v>98.135000000000005</v>
      </c>
      <c r="J133" s="19">
        <v>9.4970999999999997</v>
      </c>
      <c r="K133" s="19">
        <v>275500</v>
      </c>
      <c r="L133" s="19">
        <v>1500</v>
      </c>
      <c r="M133" s="19">
        <v>0.92200000000000004</v>
      </c>
      <c r="N133" s="19">
        <v>526000</v>
      </c>
      <c r="O133" s="19">
        <v>30</v>
      </c>
      <c r="P133" s="19">
        <v>11</v>
      </c>
      <c r="Q133" s="19">
        <v>38</v>
      </c>
      <c r="R133" s="19">
        <v>24</v>
      </c>
      <c r="S133" s="19">
        <v>23.6</v>
      </c>
    </row>
    <row r="134" spans="1:20" x14ac:dyDescent="0.2">
      <c r="A134" t="s">
        <v>396</v>
      </c>
      <c r="B134" t="s">
        <v>397</v>
      </c>
      <c r="C134" t="s">
        <v>640</v>
      </c>
      <c r="D134" s="19">
        <v>12025</v>
      </c>
      <c r="E134" s="21">
        <v>59.48</v>
      </c>
      <c r="F134" s="19">
        <v>12938.440979999999</v>
      </c>
      <c r="G134" s="19">
        <v>20</v>
      </c>
      <c r="M134" s="19">
        <v>5.093</v>
      </c>
      <c r="N134" s="17">
        <v>0</v>
      </c>
      <c r="O134" s="19">
        <v>2</v>
      </c>
      <c r="P134" s="19">
        <v>20</v>
      </c>
      <c r="Q134" s="19">
        <v>3</v>
      </c>
      <c r="R134" s="17">
        <v>0</v>
      </c>
      <c r="S134" s="17">
        <v>0</v>
      </c>
      <c r="T134" s="17">
        <v>0</v>
      </c>
    </row>
    <row r="135" spans="1:20" x14ac:dyDescent="0.2">
      <c r="A135" t="s">
        <v>399</v>
      </c>
      <c r="B135" t="s">
        <v>400</v>
      </c>
      <c r="C135" t="s">
        <v>640</v>
      </c>
      <c r="D135" s="19">
        <v>5251899</v>
      </c>
      <c r="E135" s="21">
        <v>82</v>
      </c>
      <c r="F135" s="19">
        <v>49598.265059999998</v>
      </c>
      <c r="G135" s="19">
        <v>263310</v>
      </c>
      <c r="H135" s="19">
        <v>23.977</v>
      </c>
      <c r="I135" s="19">
        <v>64.944999999999993</v>
      </c>
      <c r="J135" s="19">
        <v>4.9379999999999997</v>
      </c>
      <c r="K135" s="19">
        <v>2125000</v>
      </c>
      <c r="L135" s="19">
        <v>1732</v>
      </c>
      <c r="M135" s="19">
        <v>7.5069999999999997</v>
      </c>
      <c r="N135" s="19">
        <v>2160000</v>
      </c>
      <c r="O135" s="19">
        <v>9</v>
      </c>
      <c r="P135" s="19">
        <v>48</v>
      </c>
      <c r="Q135" s="19">
        <v>67</v>
      </c>
      <c r="R135" s="19">
        <v>21</v>
      </c>
      <c r="S135" s="19">
        <v>33.4</v>
      </c>
      <c r="T135" s="19">
        <v>30.4</v>
      </c>
    </row>
    <row r="136" spans="1:20" x14ac:dyDescent="0.2">
      <c r="A136" t="s">
        <v>402</v>
      </c>
      <c r="B136" t="s">
        <v>403</v>
      </c>
      <c r="C136" t="s">
        <v>640</v>
      </c>
      <c r="D136" s="19">
        <v>5494691</v>
      </c>
      <c r="E136" s="21">
        <v>77.67</v>
      </c>
      <c r="F136" s="19">
        <v>37310.775320000001</v>
      </c>
      <c r="G136" s="19">
        <v>309500</v>
      </c>
      <c r="H136" s="19">
        <v>12.428000000000001</v>
      </c>
      <c r="I136" s="19">
        <v>80.783000000000001</v>
      </c>
      <c r="J136" s="19">
        <v>1.915</v>
      </c>
      <c r="L136" s="19">
        <v>125</v>
      </c>
      <c r="M136" s="19">
        <v>14.91</v>
      </c>
      <c r="N136" s="17">
        <v>0</v>
      </c>
      <c r="O136" s="19">
        <v>9</v>
      </c>
      <c r="P136" s="19">
        <v>73</v>
      </c>
      <c r="Q136" s="19">
        <v>13</v>
      </c>
      <c r="R136" s="19">
        <v>8</v>
      </c>
      <c r="S136" s="19">
        <v>28.9</v>
      </c>
      <c r="T136" s="19">
        <v>16.2</v>
      </c>
    </row>
    <row r="137" spans="1:20" x14ac:dyDescent="0.2">
      <c r="A137" t="s">
        <v>405</v>
      </c>
      <c r="B137" t="s">
        <v>406</v>
      </c>
      <c r="C137" t="s">
        <v>640</v>
      </c>
      <c r="D137" s="19">
        <v>255219554</v>
      </c>
      <c r="E137" s="21">
        <v>70.52</v>
      </c>
      <c r="F137" s="19">
        <v>5717.1754300000002</v>
      </c>
      <c r="G137" s="19">
        <v>770880</v>
      </c>
      <c r="H137" s="19">
        <v>0.76315</v>
      </c>
      <c r="I137" s="19">
        <v>93.977000000000004</v>
      </c>
      <c r="J137" s="19">
        <v>183.45</v>
      </c>
      <c r="K137" s="19">
        <v>2735000</v>
      </c>
      <c r="L137" s="19">
        <v>494</v>
      </c>
      <c r="M137" s="19">
        <v>1.097</v>
      </c>
      <c r="N137" s="17">
        <v>0</v>
      </c>
      <c r="O137" s="19">
        <v>24</v>
      </c>
      <c r="P137" s="19">
        <v>117</v>
      </c>
      <c r="Q137" s="19">
        <v>33</v>
      </c>
      <c r="R137" s="19">
        <v>20</v>
      </c>
      <c r="S137" s="19">
        <v>19.100000000000001</v>
      </c>
      <c r="T137" s="19">
        <v>1.2</v>
      </c>
    </row>
    <row r="138" spans="1:20" x14ac:dyDescent="0.2">
      <c r="A138" t="s">
        <v>408</v>
      </c>
      <c r="B138" t="s">
        <v>409</v>
      </c>
      <c r="C138" t="s">
        <v>643</v>
      </c>
      <c r="D138" s="19">
        <v>4571189</v>
      </c>
      <c r="E138" s="21">
        <v>79.7</v>
      </c>
      <c r="F138" s="19">
        <v>38412.094640000003</v>
      </c>
      <c r="G138" s="19">
        <v>74180</v>
      </c>
      <c r="H138" s="19">
        <v>0.51180000000000003</v>
      </c>
      <c r="I138" s="19">
        <v>36.825000000000003</v>
      </c>
      <c r="J138" s="19">
        <v>1.2114</v>
      </c>
      <c r="K138" s="19">
        <v>360600</v>
      </c>
      <c r="L138" s="19">
        <v>2928</v>
      </c>
      <c r="M138" s="19">
        <v>4.0220000000000002</v>
      </c>
      <c r="N138" s="17">
        <v>0</v>
      </c>
      <c r="O138" s="19">
        <v>18</v>
      </c>
      <c r="P138" s="19">
        <v>128</v>
      </c>
      <c r="Q138" s="19">
        <v>19</v>
      </c>
      <c r="R138" s="19">
        <v>238</v>
      </c>
      <c r="S138" s="19">
        <v>31.4</v>
      </c>
      <c r="T138" s="19">
        <v>26.3</v>
      </c>
    </row>
    <row r="139" spans="1:20" x14ac:dyDescent="0.2">
      <c r="A139" t="s">
        <v>411</v>
      </c>
      <c r="B139" t="s">
        <v>412</v>
      </c>
      <c r="C139" t="s">
        <v>643</v>
      </c>
      <c r="D139" s="19">
        <v>34576665</v>
      </c>
      <c r="E139" s="21">
        <v>77.7</v>
      </c>
      <c r="F139" s="19">
        <v>16370.68024</v>
      </c>
      <c r="G139" s="19">
        <v>1280000</v>
      </c>
      <c r="H139" s="19">
        <v>6.4276999999999997</v>
      </c>
      <c r="I139" s="19">
        <v>81.453999999999994</v>
      </c>
      <c r="J139" s="19">
        <v>25.919</v>
      </c>
      <c r="K139" s="19">
        <v>1723000</v>
      </c>
      <c r="L139" s="19">
        <v>1738</v>
      </c>
      <c r="M139" s="19">
        <v>2.0059999999999998</v>
      </c>
      <c r="N139" s="19">
        <v>65790000</v>
      </c>
      <c r="O139" s="19">
        <v>51</v>
      </c>
      <c r="P139" s="19">
        <v>90</v>
      </c>
      <c r="Q139" s="19">
        <v>93</v>
      </c>
      <c r="R139" s="19">
        <v>568</v>
      </c>
      <c r="S139" s="19">
        <v>22.1</v>
      </c>
      <c r="T139" s="19">
        <v>7.9</v>
      </c>
    </row>
    <row r="140" spans="1:20" x14ac:dyDescent="0.2">
      <c r="A140" t="s">
        <v>414</v>
      </c>
      <c r="B140" t="s">
        <v>415</v>
      </c>
      <c r="C140" t="s">
        <v>640</v>
      </c>
      <c r="D140" s="19">
        <v>116786962</v>
      </c>
      <c r="E140" s="21">
        <v>72.510000000000005</v>
      </c>
      <c r="F140" s="19">
        <v>11116.63775</v>
      </c>
      <c r="G140" s="19">
        <v>298170</v>
      </c>
      <c r="H140" s="19">
        <v>14.941000000000001</v>
      </c>
      <c r="I140" s="19">
        <v>74.626000000000005</v>
      </c>
      <c r="J140" s="19">
        <v>91.037000000000006</v>
      </c>
      <c r="K140" s="19">
        <v>670900</v>
      </c>
      <c r="L140" s="19">
        <v>2348</v>
      </c>
      <c r="M140" s="19">
        <v>1.6080000000000001</v>
      </c>
      <c r="N140" s="19">
        <v>861000</v>
      </c>
      <c r="O140" s="19">
        <v>42</v>
      </c>
      <c r="P140" s="19">
        <v>143</v>
      </c>
      <c r="Q140" s="19">
        <v>91</v>
      </c>
      <c r="R140" s="19">
        <v>903</v>
      </c>
      <c r="S140" s="19">
        <v>16</v>
      </c>
      <c r="T140" s="19">
        <v>1.6</v>
      </c>
    </row>
    <row r="141" spans="1:20" x14ac:dyDescent="0.2">
      <c r="A141" t="s">
        <v>417</v>
      </c>
      <c r="B141" t="s">
        <v>418</v>
      </c>
      <c r="C141" t="s">
        <v>640</v>
      </c>
      <c r="D141" s="19">
        <v>17663</v>
      </c>
      <c r="E141" s="21">
        <v>69.2</v>
      </c>
      <c r="F141" s="19">
        <v>18884.74308</v>
      </c>
      <c r="G141" s="19">
        <v>460</v>
      </c>
      <c r="M141" s="19">
        <v>14.247999999999999</v>
      </c>
      <c r="N141" s="17">
        <v>0</v>
      </c>
      <c r="O141" s="19">
        <v>5</v>
      </c>
      <c r="P141" s="19">
        <v>29</v>
      </c>
      <c r="Q141" s="19">
        <v>6</v>
      </c>
      <c r="R141" s="19">
        <v>5</v>
      </c>
      <c r="S141" s="19">
        <v>31.4</v>
      </c>
      <c r="T141" s="19">
        <v>98</v>
      </c>
    </row>
    <row r="142" spans="1:20" x14ac:dyDescent="0.2">
      <c r="A142" t="s">
        <v>420</v>
      </c>
      <c r="B142" t="s">
        <v>421</v>
      </c>
      <c r="C142" t="s">
        <v>640</v>
      </c>
      <c r="D142" s="19">
        <v>10762817</v>
      </c>
      <c r="E142" s="21">
        <v>66.7</v>
      </c>
      <c r="F142" s="19">
        <v>4521.7735899999998</v>
      </c>
      <c r="G142" s="19">
        <v>452860</v>
      </c>
      <c r="H142" s="19">
        <v>42.744</v>
      </c>
      <c r="I142" s="19">
        <v>0.25503999999999999</v>
      </c>
      <c r="J142" s="19">
        <v>0.3921</v>
      </c>
      <c r="L142" s="19">
        <v>3142</v>
      </c>
      <c r="M142" s="19">
        <v>0.98599999999999999</v>
      </c>
      <c r="N142" s="19">
        <v>17599000</v>
      </c>
      <c r="O142" s="19">
        <v>51</v>
      </c>
      <c r="P142" s="19">
        <v>132</v>
      </c>
      <c r="Q142" s="19">
        <v>38</v>
      </c>
      <c r="R142" s="19">
        <v>641</v>
      </c>
      <c r="S142" s="19">
        <v>3.7</v>
      </c>
      <c r="T142" s="19">
        <v>0.1</v>
      </c>
    </row>
    <row r="143" spans="1:20" x14ac:dyDescent="0.2">
      <c r="A143" t="s">
        <v>423</v>
      </c>
      <c r="B143" t="s">
        <v>424</v>
      </c>
      <c r="C143" t="s">
        <v>642</v>
      </c>
      <c r="D143" s="19">
        <v>38140910</v>
      </c>
      <c r="E143" s="21">
        <v>79.2</v>
      </c>
      <c r="F143" s="19">
        <v>47891.515370000001</v>
      </c>
      <c r="G143" s="19">
        <v>306270</v>
      </c>
      <c r="H143" s="19">
        <v>65.492000000000004</v>
      </c>
      <c r="I143" s="19">
        <v>13.019</v>
      </c>
      <c r="J143" s="19">
        <v>9.8331999999999997</v>
      </c>
      <c r="K143" s="19">
        <v>251100</v>
      </c>
      <c r="L143" s="19">
        <v>600</v>
      </c>
      <c r="M143" s="19">
        <v>8.0120000000000005</v>
      </c>
      <c r="N143" s="19">
        <v>59000</v>
      </c>
      <c r="O143" s="19">
        <v>4</v>
      </c>
      <c r="P143" s="19">
        <v>8</v>
      </c>
      <c r="Q143" s="19">
        <v>13</v>
      </c>
      <c r="R143" s="19">
        <v>16</v>
      </c>
      <c r="S143" s="19">
        <v>39.6</v>
      </c>
      <c r="T143" s="19">
        <v>24</v>
      </c>
    </row>
    <row r="144" spans="1:20" x14ac:dyDescent="0.2">
      <c r="A144" t="s">
        <v>426</v>
      </c>
      <c r="B144" t="s">
        <v>427</v>
      </c>
      <c r="C144" t="s">
        <v>640</v>
      </c>
      <c r="D144" s="19">
        <v>26571036</v>
      </c>
      <c r="E144" s="21">
        <v>74.099999999999994</v>
      </c>
      <c r="F144" s="19">
        <v>1542.77448</v>
      </c>
      <c r="G144" s="19">
        <v>120410</v>
      </c>
      <c r="H144" s="19">
        <v>13.225</v>
      </c>
      <c r="I144" s="19">
        <v>76.346999999999994</v>
      </c>
      <c r="J144" s="19">
        <v>8.6577999999999999</v>
      </c>
      <c r="K144" s="19">
        <v>1153000</v>
      </c>
      <c r="L144" s="19">
        <v>1054</v>
      </c>
      <c r="M144" s="19">
        <v>1.3240000000000001</v>
      </c>
      <c r="N144" s="19">
        <v>701000</v>
      </c>
      <c r="O144" s="19">
        <v>10</v>
      </c>
      <c r="P144" s="19">
        <v>51</v>
      </c>
      <c r="Q144" s="19">
        <v>30</v>
      </c>
      <c r="R144" s="19">
        <v>20</v>
      </c>
      <c r="S144" s="19">
        <v>2.4</v>
      </c>
      <c r="T144" s="17">
        <v>0</v>
      </c>
    </row>
    <row r="145" spans="1:20" x14ac:dyDescent="0.2">
      <c r="A145" t="s">
        <v>429</v>
      </c>
      <c r="B145" t="s">
        <v>430</v>
      </c>
      <c r="C145" t="s">
        <v>642</v>
      </c>
      <c r="D145" s="19">
        <v>10411834</v>
      </c>
      <c r="E145" s="21">
        <v>82.5</v>
      </c>
      <c r="F145" s="19">
        <v>43664.498899999999</v>
      </c>
      <c r="G145" s="19">
        <v>91605.6</v>
      </c>
      <c r="H145" s="19">
        <v>29.658000000000001</v>
      </c>
      <c r="I145" s="19">
        <v>55.429000000000002</v>
      </c>
      <c r="J145" s="19">
        <v>6.1692</v>
      </c>
      <c r="K145" s="19">
        <v>1388000</v>
      </c>
      <c r="L145" s="19">
        <v>854</v>
      </c>
      <c r="M145" s="19">
        <v>4.6029999999999998</v>
      </c>
      <c r="N145" s="19">
        <v>24100</v>
      </c>
      <c r="O145" s="19">
        <v>15</v>
      </c>
      <c r="P145" s="19">
        <v>88</v>
      </c>
      <c r="Q145" s="19">
        <v>17</v>
      </c>
      <c r="R145" s="19">
        <v>144</v>
      </c>
      <c r="S145" s="19">
        <v>23</v>
      </c>
      <c r="T145" s="19">
        <v>16.899999999999999</v>
      </c>
    </row>
    <row r="146" spans="1:20" x14ac:dyDescent="0.2">
      <c r="A146" t="s">
        <v>432</v>
      </c>
      <c r="B146" t="s">
        <v>433</v>
      </c>
      <c r="C146" t="s">
        <v>643</v>
      </c>
      <c r="D146" s="19">
        <v>7013078</v>
      </c>
      <c r="E146" s="21">
        <v>73.400000000000006</v>
      </c>
      <c r="F146" s="19">
        <v>17153.71862</v>
      </c>
      <c r="G146" s="19">
        <v>396012.03</v>
      </c>
      <c r="H146" s="19">
        <v>6.3821000000000003</v>
      </c>
      <c r="I146" s="19">
        <v>78.616</v>
      </c>
      <c r="J146" s="19">
        <v>2.4129999999999998</v>
      </c>
      <c r="K146" s="19">
        <v>4649000</v>
      </c>
      <c r="L146" s="19">
        <v>1130</v>
      </c>
      <c r="M146" s="19">
        <v>2</v>
      </c>
      <c r="N146" s="19">
        <v>1884000</v>
      </c>
      <c r="O146" s="19">
        <v>11</v>
      </c>
      <c r="P146" s="17">
        <v>0</v>
      </c>
      <c r="Q146" s="19">
        <v>28</v>
      </c>
      <c r="R146" s="19">
        <v>22</v>
      </c>
      <c r="S146" s="19">
        <v>14.9</v>
      </c>
    </row>
    <row r="147" spans="1:20" x14ac:dyDescent="0.2">
      <c r="A147" t="s">
        <v>435</v>
      </c>
      <c r="B147" t="s">
        <v>436</v>
      </c>
      <c r="C147" t="s">
        <v>640</v>
      </c>
      <c r="D147" s="19">
        <v>5589623</v>
      </c>
      <c r="E147" s="21">
        <v>78.23</v>
      </c>
      <c r="F147" s="19">
        <v>3909.1982699999999</v>
      </c>
      <c r="G147" s="19">
        <v>6025</v>
      </c>
      <c r="H147" s="19">
        <v>8.2959999999999994</v>
      </c>
      <c r="I147" s="19">
        <v>35.426000000000002</v>
      </c>
      <c r="J147" s="19">
        <v>0.44600000000000001</v>
      </c>
      <c r="L147" s="17">
        <v>0</v>
      </c>
      <c r="M147" s="19">
        <v>0.73299999999999998</v>
      </c>
      <c r="N147" s="17">
        <v>0</v>
      </c>
      <c r="O147" s="19">
        <v>5</v>
      </c>
      <c r="P147" s="19">
        <v>16</v>
      </c>
      <c r="Q147" s="19">
        <v>16</v>
      </c>
      <c r="R147" s="19">
        <v>11</v>
      </c>
      <c r="S147" s="19">
        <v>10</v>
      </c>
      <c r="T147" s="17">
        <v>0</v>
      </c>
    </row>
    <row r="148" spans="1:20" x14ac:dyDescent="0.2">
      <c r="A148" t="s">
        <v>438</v>
      </c>
      <c r="B148" t="s">
        <v>439</v>
      </c>
      <c r="C148" t="s">
        <v>640</v>
      </c>
      <c r="D148" s="19">
        <v>3115889</v>
      </c>
      <c r="E148" s="21">
        <v>81.8</v>
      </c>
      <c r="F148" s="19">
        <v>116057.33590000001</v>
      </c>
      <c r="G148" s="19">
        <v>11490</v>
      </c>
      <c r="H148" s="19">
        <v>4.3010000000000002</v>
      </c>
      <c r="I148" s="19">
        <v>33.307000000000002</v>
      </c>
      <c r="J148" s="19">
        <v>0.93420000000000003</v>
      </c>
      <c r="L148" s="19">
        <v>74</v>
      </c>
      <c r="M148" s="19">
        <v>27.259</v>
      </c>
      <c r="N148" s="17">
        <v>0</v>
      </c>
      <c r="O148" s="19">
        <v>4</v>
      </c>
      <c r="P148" s="19">
        <v>42</v>
      </c>
      <c r="Q148" s="19">
        <v>10</v>
      </c>
      <c r="R148" s="17">
        <v>0</v>
      </c>
      <c r="S148" s="19">
        <v>15.6</v>
      </c>
      <c r="T148" s="19">
        <v>2.2999999999999998</v>
      </c>
    </row>
    <row r="149" spans="1:20" x14ac:dyDescent="0.2">
      <c r="A149" t="s">
        <v>441</v>
      </c>
      <c r="B149" t="s">
        <v>442</v>
      </c>
      <c r="C149" t="s">
        <v>642</v>
      </c>
      <c r="D149" s="19">
        <v>18908650</v>
      </c>
      <c r="E149" s="21">
        <v>76.8</v>
      </c>
      <c r="F149" s="19">
        <v>42605.119980000003</v>
      </c>
      <c r="G149" s="19">
        <v>230080</v>
      </c>
      <c r="H149" s="19">
        <v>48.338000000000001</v>
      </c>
      <c r="I149" s="19">
        <v>36.253</v>
      </c>
      <c r="J149" s="19">
        <v>8.1509999999999998</v>
      </c>
      <c r="K149" s="19">
        <v>1679000</v>
      </c>
      <c r="L149" s="19">
        <v>637</v>
      </c>
      <c r="M149" s="19">
        <v>4.3630000000000004</v>
      </c>
      <c r="N149" s="19">
        <v>283000</v>
      </c>
      <c r="O149" s="19">
        <v>14</v>
      </c>
      <c r="P149" s="19">
        <v>21</v>
      </c>
      <c r="Q149" s="19">
        <v>18</v>
      </c>
      <c r="R149" s="19">
        <v>14</v>
      </c>
      <c r="S149" s="19">
        <v>24.6</v>
      </c>
      <c r="T149" s="19">
        <v>21.5</v>
      </c>
    </row>
    <row r="150" spans="1:20" x14ac:dyDescent="0.2">
      <c r="A150" t="s">
        <v>444</v>
      </c>
      <c r="B150" t="s">
        <v>445</v>
      </c>
      <c r="C150" t="s">
        <v>642</v>
      </c>
      <c r="D150" s="19">
        <v>143997393</v>
      </c>
      <c r="E150" s="21">
        <v>73.7</v>
      </c>
      <c r="F150" s="19">
        <v>40870.616719999998</v>
      </c>
      <c r="G150" s="19">
        <v>16376870</v>
      </c>
      <c r="H150" s="19">
        <v>44.786000000000001</v>
      </c>
      <c r="I150" s="19">
        <v>28.757000000000001</v>
      </c>
      <c r="J150" s="19">
        <v>64.819999999999993</v>
      </c>
      <c r="K150" s="19">
        <v>14310000</v>
      </c>
      <c r="L150" s="19">
        <v>460</v>
      </c>
      <c r="M150" s="19">
        <v>9.968</v>
      </c>
      <c r="N150" s="19">
        <v>272718000</v>
      </c>
      <c r="O150" s="19">
        <v>33</v>
      </c>
      <c r="P150" s="19">
        <v>64</v>
      </c>
      <c r="Q150" s="19">
        <v>58</v>
      </c>
      <c r="R150" s="19">
        <v>68</v>
      </c>
      <c r="S150" s="19">
        <v>11.5</v>
      </c>
      <c r="T150" s="19">
        <v>2.2000000000000002</v>
      </c>
    </row>
    <row r="151" spans="1:20" x14ac:dyDescent="0.2">
      <c r="A151" t="s">
        <v>447</v>
      </c>
      <c r="B151" t="s">
        <v>448</v>
      </c>
      <c r="C151" t="s">
        <v>641</v>
      </c>
      <c r="D151" s="19">
        <v>14569341</v>
      </c>
      <c r="E151" s="21">
        <v>65.37</v>
      </c>
      <c r="F151" s="19">
        <v>3512.3061299999999</v>
      </c>
      <c r="G151" s="19">
        <v>24670</v>
      </c>
      <c r="H151" s="19">
        <v>1.6638999999999999</v>
      </c>
      <c r="I151" s="19">
        <v>60.067</v>
      </c>
      <c r="J151" s="19">
        <v>0.60099999999999998</v>
      </c>
      <c r="L151" s="19">
        <v>1212</v>
      </c>
      <c r="M151" s="19">
        <v>0.17899999999999999</v>
      </c>
      <c r="N151" s="19">
        <v>7000</v>
      </c>
      <c r="O151" s="19">
        <v>24</v>
      </c>
      <c r="P151" s="19">
        <v>7</v>
      </c>
      <c r="Q151" s="19">
        <v>20</v>
      </c>
      <c r="R151" s="19">
        <v>134</v>
      </c>
      <c r="S151" s="19">
        <v>9.1</v>
      </c>
    </row>
    <row r="152" spans="1:20" x14ac:dyDescent="0.2">
      <c r="A152" t="s">
        <v>450</v>
      </c>
      <c r="B152" t="s">
        <v>451</v>
      </c>
      <c r="C152" t="s">
        <v>640</v>
      </c>
      <c r="D152" s="19">
        <v>34566328</v>
      </c>
      <c r="E152" s="21">
        <v>75.16</v>
      </c>
      <c r="F152" s="19">
        <v>64965.703049999996</v>
      </c>
      <c r="G152" s="19">
        <v>2149690</v>
      </c>
      <c r="H152" s="19">
        <v>5.3863000000000003</v>
      </c>
      <c r="I152" s="19">
        <v>81.563999999999993</v>
      </c>
      <c r="J152" s="19">
        <v>25.992000000000001</v>
      </c>
      <c r="L152" s="19">
        <v>59</v>
      </c>
      <c r="M152" s="19">
        <v>18.425000000000001</v>
      </c>
      <c r="O152" s="19">
        <v>11</v>
      </c>
      <c r="P152" s="19">
        <v>72</v>
      </c>
      <c r="Q152" s="19">
        <v>19</v>
      </c>
      <c r="R152" s="19">
        <v>5</v>
      </c>
      <c r="S152" s="19">
        <v>18.5</v>
      </c>
      <c r="T152" s="19">
        <v>3.5</v>
      </c>
    </row>
    <row r="153" spans="1:20" x14ac:dyDescent="0.2">
      <c r="A153" t="s">
        <v>453</v>
      </c>
      <c r="B153" t="s">
        <v>454</v>
      </c>
      <c r="C153" t="s">
        <v>641</v>
      </c>
      <c r="D153" s="19">
        <v>51662147</v>
      </c>
      <c r="E153" s="21">
        <v>69.52</v>
      </c>
      <c r="F153" s="19">
        <v>1865.51403</v>
      </c>
      <c r="G153" s="19">
        <v>1868000</v>
      </c>
      <c r="H153" s="19">
        <v>0.27844999999999998</v>
      </c>
      <c r="I153" s="19">
        <v>96.194999999999993</v>
      </c>
      <c r="J153" s="19">
        <v>26.934999999999999</v>
      </c>
      <c r="K153" s="19">
        <v>330400</v>
      </c>
      <c r="L153" s="19">
        <v>250</v>
      </c>
      <c r="M153" s="19">
        <v>0.55000000000000004</v>
      </c>
      <c r="N153" s="19">
        <v>1344696</v>
      </c>
      <c r="O153" s="19">
        <v>19</v>
      </c>
      <c r="P153" s="19">
        <v>52</v>
      </c>
      <c r="Q153" s="19">
        <v>27</v>
      </c>
      <c r="R153" s="19">
        <v>16</v>
      </c>
      <c r="S153" s="19">
        <v>2.8</v>
      </c>
      <c r="T153" s="19">
        <v>17</v>
      </c>
    </row>
    <row r="154" spans="1:20" x14ac:dyDescent="0.2">
      <c r="A154" t="s">
        <v>456</v>
      </c>
      <c r="B154" t="s">
        <v>457</v>
      </c>
      <c r="C154" t="s">
        <v>641</v>
      </c>
      <c r="D154" s="19">
        <v>18931966</v>
      </c>
      <c r="E154" s="21">
        <v>70.81</v>
      </c>
      <c r="F154" s="19">
        <v>4871.2802600000005</v>
      </c>
      <c r="G154" s="19">
        <v>192530</v>
      </c>
      <c r="H154" s="19">
        <v>4.6760000000000003E-2</v>
      </c>
      <c r="I154" s="19">
        <v>91.313999999999993</v>
      </c>
      <c r="J154" s="19">
        <v>3.0211000000000001</v>
      </c>
      <c r="K154" s="19">
        <v>21410</v>
      </c>
      <c r="L154" s="19">
        <v>686</v>
      </c>
      <c r="M154" s="19">
        <v>1.018</v>
      </c>
      <c r="N154" s="19">
        <v>1508000</v>
      </c>
      <c r="O154" s="19">
        <v>21</v>
      </c>
      <c r="P154" s="19">
        <v>89</v>
      </c>
      <c r="Q154" s="19">
        <v>24</v>
      </c>
      <c r="R154" s="19">
        <v>23</v>
      </c>
      <c r="S154" s="19">
        <v>27.5</v>
      </c>
      <c r="T154" s="19">
        <v>3.1</v>
      </c>
    </row>
    <row r="155" spans="1:20" x14ac:dyDescent="0.2">
      <c r="A155" t="s">
        <v>459</v>
      </c>
      <c r="B155" t="s">
        <v>460</v>
      </c>
      <c r="C155" t="s">
        <v>640</v>
      </c>
      <c r="D155" s="19">
        <v>5870750</v>
      </c>
      <c r="E155" s="21">
        <v>85.81</v>
      </c>
      <c r="F155" s="19">
        <v>137905.9791</v>
      </c>
      <c r="G155" s="19">
        <v>718</v>
      </c>
      <c r="H155" s="19">
        <v>45.069000000000003</v>
      </c>
      <c r="I155" s="17" t="e">
        <v>#REF!</v>
      </c>
      <c r="J155" s="19">
        <v>0.36082999999999998</v>
      </c>
      <c r="L155" s="19">
        <v>2497</v>
      </c>
      <c r="M155" s="19">
        <v>25.427</v>
      </c>
      <c r="N155" s="19">
        <v>210</v>
      </c>
      <c r="O155" s="19">
        <v>17</v>
      </c>
      <c r="P155" s="19">
        <v>68</v>
      </c>
      <c r="Q155" s="19">
        <v>23</v>
      </c>
      <c r="R155" s="19">
        <v>69</v>
      </c>
      <c r="S155" s="19">
        <v>4.5999999999999996</v>
      </c>
      <c r="T155" s="17">
        <v>0</v>
      </c>
    </row>
    <row r="156" spans="1:20" x14ac:dyDescent="0.2">
      <c r="A156" t="s">
        <v>462</v>
      </c>
      <c r="B156" t="s">
        <v>463</v>
      </c>
      <c r="C156" t="s">
        <v>640</v>
      </c>
      <c r="D156" s="19">
        <v>838645</v>
      </c>
      <c r="E156" s="21">
        <v>64.150000000000006</v>
      </c>
      <c r="F156" s="19">
        <v>2615.3294900000001</v>
      </c>
      <c r="G156" s="19">
        <v>27990</v>
      </c>
      <c r="L156" s="19">
        <v>3028</v>
      </c>
      <c r="M156" s="19">
        <v>0.29499999999999998</v>
      </c>
      <c r="N156" s="19">
        <v>1105400</v>
      </c>
      <c r="O156" s="19">
        <v>24</v>
      </c>
      <c r="P156" s="19">
        <v>43</v>
      </c>
      <c r="Q156" s="19">
        <v>21</v>
      </c>
      <c r="R156" s="19">
        <v>53</v>
      </c>
      <c r="S156" s="19">
        <v>2.4</v>
      </c>
      <c r="T156" s="19">
        <v>0.1</v>
      </c>
    </row>
    <row r="157" spans="1:20" x14ac:dyDescent="0.2">
      <c r="A157" t="s">
        <v>465</v>
      </c>
      <c r="B157" t="s">
        <v>466</v>
      </c>
      <c r="C157" t="s">
        <v>641</v>
      </c>
      <c r="D157" s="19">
        <v>8819794</v>
      </c>
      <c r="E157" s="21">
        <v>59.38</v>
      </c>
      <c r="F157" s="19">
        <v>3255.8243600000001</v>
      </c>
      <c r="G157" s="19">
        <v>72180</v>
      </c>
      <c r="H157" s="19">
        <v>26.155000000000001</v>
      </c>
      <c r="I157" s="19">
        <v>21.536000000000001</v>
      </c>
      <c r="J157" s="19">
        <v>0.2122</v>
      </c>
      <c r="L157" s="19">
        <v>2526</v>
      </c>
      <c r="M157" s="19">
        <v>0.154</v>
      </c>
      <c r="N157" s="19">
        <v>85200</v>
      </c>
      <c r="O157" s="19">
        <v>26</v>
      </c>
      <c r="P157" s="19">
        <v>87</v>
      </c>
      <c r="Q157" s="19">
        <v>17</v>
      </c>
      <c r="R157" s="19">
        <v>143</v>
      </c>
      <c r="S157" s="19">
        <v>12.6</v>
      </c>
      <c r="T157" s="19">
        <v>1.7</v>
      </c>
    </row>
    <row r="158" spans="1:20" x14ac:dyDescent="0.2">
      <c r="A158" t="s">
        <v>468</v>
      </c>
      <c r="B158" t="s">
        <v>469</v>
      </c>
      <c r="C158" t="s">
        <v>643</v>
      </c>
      <c r="D158" s="19">
        <v>6365503</v>
      </c>
      <c r="E158" s="21">
        <v>73.709999999999994</v>
      </c>
      <c r="F158" s="19">
        <v>12221.096740000001</v>
      </c>
      <c r="G158" s="19">
        <v>20720</v>
      </c>
      <c r="H158" s="19">
        <v>4.8653000000000004</v>
      </c>
      <c r="I158" s="19">
        <v>72.786000000000001</v>
      </c>
      <c r="J158" s="19">
        <v>1.9384999999999999</v>
      </c>
      <c r="K158" s="19">
        <v>179200</v>
      </c>
      <c r="L158" s="19">
        <v>1784</v>
      </c>
      <c r="M158" s="19">
        <v>1.472</v>
      </c>
      <c r="N158" s="19">
        <v>4800</v>
      </c>
      <c r="O158" s="19">
        <v>6</v>
      </c>
      <c r="P158" s="19">
        <v>51</v>
      </c>
      <c r="Q158" s="19">
        <v>9</v>
      </c>
      <c r="R158" s="19">
        <v>77</v>
      </c>
      <c r="S158" s="19">
        <v>8.3000000000000007</v>
      </c>
      <c r="T158" s="19">
        <v>0.8</v>
      </c>
    </row>
    <row r="159" spans="1:20" x14ac:dyDescent="0.2">
      <c r="A159" t="s">
        <v>471</v>
      </c>
      <c r="B159" t="s">
        <v>472</v>
      </c>
      <c r="C159" t="s">
        <v>642</v>
      </c>
      <c r="D159" s="19">
        <v>33572</v>
      </c>
      <c r="E159" s="21">
        <v>85.4</v>
      </c>
      <c r="F159" s="19">
        <v>78126.26324</v>
      </c>
      <c r="G159" s="19">
        <v>60</v>
      </c>
      <c r="N159" s="17">
        <v>0</v>
      </c>
      <c r="O159" s="19">
        <v>1</v>
      </c>
      <c r="P159" s="19">
        <v>2</v>
      </c>
      <c r="Q159" s="19">
        <v>1</v>
      </c>
      <c r="R159" s="17">
        <v>0</v>
      </c>
    </row>
    <row r="160" spans="1:20" x14ac:dyDescent="0.2">
      <c r="A160" t="s">
        <v>474</v>
      </c>
      <c r="B160" t="s">
        <v>475</v>
      </c>
      <c r="C160" t="s">
        <v>641</v>
      </c>
      <c r="D160" s="19">
        <v>19654739</v>
      </c>
      <c r="E160" s="21">
        <v>65.349999999999994</v>
      </c>
      <c r="F160" s="19">
        <v>1462.5623599999999</v>
      </c>
      <c r="G160" s="19">
        <v>627340</v>
      </c>
      <c r="H160" s="19">
        <v>6.0639999999999999E-2</v>
      </c>
      <c r="I160" s="19">
        <v>99.484999999999999</v>
      </c>
      <c r="J160" s="19">
        <v>3.298</v>
      </c>
      <c r="L160" s="19">
        <v>282</v>
      </c>
      <c r="M160" s="19">
        <v>5.0999999999999997E-2</v>
      </c>
      <c r="N160" s="17">
        <v>0</v>
      </c>
      <c r="O160" s="19">
        <v>18</v>
      </c>
      <c r="P160" s="19">
        <v>59</v>
      </c>
      <c r="Q160" s="19">
        <v>20</v>
      </c>
      <c r="R160" s="19">
        <v>63</v>
      </c>
      <c r="S160" s="17">
        <v>0</v>
      </c>
      <c r="T160" s="17">
        <v>0</v>
      </c>
    </row>
    <row r="161" spans="1:20" x14ac:dyDescent="0.2">
      <c r="A161" t="s">
        <v>477</v>
      </c>
      <c r="B161" t="s">
        <v>478</v>
      </c>
      <c r="C161" t="s">
        <v>642</v>
      </c>
      <c r="D161" s="19">
        <v>6689039</v>
      </c>
      <c r="E161" s="21">
        <v>76.489999999999995</v>
      </c>
      <c r="F161" s="19">
        <v>28758.37917</v>
      </c>
      <c r="G161" s="19">
        <v>84090</v>
      </c>
      <c r="H161" s="19">
        <v>77.921999999999997</v>
      </c>
      <c r="I161" s="19">
        <v>8.2890999999999995</v>
      </c>
      <c r="J161" s="19">
        <v>5.0910000000000002</v>
      </c>
      <c r="K161" s="19">
        <v>1022000</v>
      </c>
      <c r="M161" s="19">
        <v>5.1079999999999997</v>
      </c>
      <c r="N161" s="19">
        <v>1000</v>
      </c>
      <c r="O161" s="19">
        <v>8</v>
      </c>
      <c r="P161" s="19">
        <v>14</v>
      </c>
      <c r="Q161" s="19">
        <v>14</v>
      </c>
      <c r="R161" s="19">
        <v>9</v>
      </c>
      <c r="S161" s="19">
        <v>14</v>
      </c>
    </row>
    <row r="162" spans="1:20" x14ac:dyDescent="0.2">
      <c r="A162" t="s">
        <v>480</v>
      </c>
      <c r="B162" t="s">
        <v>481</v>
      </c>
      <c r="C162" t="s">
        <v>641</v>
      </c>
      <c r="D162" s="19">
        <v>12188788</v>
      </c>
      <c r="E162" s="21">
        <v>56.79</v>
      </c>
      <c r="F162" s="19">
        <v>716.24900000000002</v>
      </c>
      <c r="G162" s="19">
        <v>631930</v>
      </c>
      <c r="H162" s="19">
        <v>34.195</v>
      </c>
      <c r="I162" s="19">
        <v>36.473999999999997</v>
      </c>
      <c r="J162" s="19">
        <v>0.65800000000000003</v>
      </c>
      <c r="L162" s="19">
        <v>900</v>
      </c>
      <c r="M162" s="19">
        <v>0.186</v>
      </c>
      <c r="N162" s="17">
        <v>0</v>
      </c>
      <c r="O162" s="19">
        <v>18</v>
      </c>
      <c r="P162" s="17">
        <v>0</v>
      </c>
      <c r="Q162" s="19">
        <v>23</v>
      </c>
      <c r="R162" s="19">
        <v>21</v>
      </c>
      <c r="S162" s="19">
        <v>15.4</v>
      </c>
    </row>
    <row r="163" spans="1:20" x14ac:dyDescent="0.2">
      <c r="A163" t="s">
        <v>483</v>
      </c>
      <c r="B163" t="s">
        <v>484</v>
      </c>
      <c r="C163" t="s">
        <v>641</v>
      </c>
      <c r="D163" s="19">
        <v>240254</v>
      </c>
      <c r="E163" s="21">
        <v>70.91</v>
      </c>
      <c r="F163" s="19">
        <v>5681.95489</v>
      </c>
      <c r="G163" s="19">
        <v>960</v>
      </c>
      <c r="H163" s="19">
        <v>1.4670000000000001</v>
      </c>
      <c r="I163" s="19">
        <v>62.591999999999999</v>
      </c>
      <c r="J163" s="19">
        <v>4.0899999999999999E-2</v>
      </c>
      <c r="L163" s="19">
        <v>3200</v>
      </c>
      <c r="M163" s="19">
        <v>0.64100000000000001</v>
      </c>
      <c r="N163" s="19">
        <v>27000</v>
      </c>
      <c r="O163" s="19">
        <v>4</v>
      </c>
      <c r="P163" s="19">
        <v>38</v>
      </c>
      <c r="Q163" s="19">
        <v>12</v>
      </c>
      <c r="R163" s="19">
        <v>72</v>
      </c>
      <c r="S163" s="19">
        <v>31.7</v>
      </c>
      <c r="T163" s="17">
        <v>0</v>
      </c>
    </row>
    <row r="164" spans="1:20" x14ac:dyDescent="0.2">
      <c r="A164" t="s">
        <v>486</v>
      </c>
      <c r="B164" t="s">
        <v>487</v>
      </c>
      <c r="C164" t="s">
        <v>643</v>
      </c>
      <c r="D164" s="19">
        <v>639850</v>
      </c>
      <c r="E164" s="21">
        <v>73.5</v>
      </c>
      <c r="F164" s="19">
        <v>20256.663240000002</v>
      </c>
      <c r="G164" s="19">
        <v>160507.60999999999</v>
      </c>
      <c r="H164" s="19">
        <v>22</v>
      </c>
      <c r="I164" s="19">
        <v>69.995000000000005</v>
      </c>
      <c r="J164" s="19">
        <v>0.6159</v>
      </c>
      <c r="L164" s="19">
        <v>2331</v>
      </c>
      <c r="M164" s="19">
        <v>3.391</v>
      </c>
      <c r="N164" s="19">
        <v>14019000</v>
      </c>
      <c r="O164" s="19">
        <v>9</v>
      </c>
      <c r="P164" s="19">
        <v>63</v>
      </c>
      <c r="Q164" s="19">
        <v>5</v>
      </c>
      <c r="R164" s="19">
        <v>45</v>
      </c>
      <c r="S164" s="19">
        <v>14.8</v>
      </c>
      <c r="T164" s="19">
        <v>1.5</v>
      </c>
    </row>
    <row r="165" spans="1:20" x14ac:dyDescent="0.2">
      <c r="A165" t="s">
        <v>489</v>
      </c>
      <c r="B165" t="s">
        <v>490</v>
      </c>
      <c r="C165" t="s">
        <v>642</v>
      </c>
      <c r="D165" s="19">
        <v>5474881</v>
      </c>
      <c r="E165" s="21">
        <v>78.7</v>
      </c>
      <c r="F165" s="19">
        <v>41977.515529999997</v>
      </c>
      <c r="G165" s="19">
        <v>48080</v>
      </c>
      <c r="H165" s="19">
        <v>39.843000000000004</v>
      </c>
      <c r="I165" s="19">
        <v>5.8285</v>
      </c>
      <c r="J165" s="19">
        <v>0.56362000000000001</v>
      </c>
      <c r="K165" s="19">
        <v>451800</v>
      </c>
      <c r="L165" s="19">
        <v>824</v>
      </c>
      <c r="M165" s="19">
        <v>7.3680000000000003</v>
      </c>
      <c r="N165" s="19">
        <v>24000</v>
      </c>
      <c r="O165" s="19">
        <v>5</v>
      </c>
      <c r="P165" s="19">
        <v>7</v>
      </c>
      <c r="Q165" s="19">
        <v>13</v>
      </c>
      <c r="R165" s="19">
        <v>32</v>
      </c>
      <c r="S165" s="19">
        <v>37.5</v>
      </c>
    </row>
    <row r="166" spans="1:20" x14ac:dyDescent="0.2">
      <c r="A166" t="s">
        <v>492</v>
      </c>
      <c r="B166" t="s">
        <v>493</v>
      </c>
      <c r="C166" t="s">
        <v>642</v>
      </c>
      <c r="D166" s="19">
        <v>2117072</v>
      </c>
      <c r="E166" s="21">
        <v>82.1</v>
      </c>
      <c r="F166" s="19">
        <v>50558.744039999998</v>
      </c>
      <c r="G166" s="19">
        <v>20134.5</v>
      </c>
      <c r="H166" s="19">
        <v>77.992999999999995</v>
      </c>
      <c r="I166" s="19">
        <v>0.41111999999999999</v>
      </c>
      <c r="J166" s="19">
        <v>0.82699999999999996</v>
      </c>
      <c r="K166" s="19">
        <v>388000</v>
      </c>
      <c r="L166" s="19">
        <v>1162</v>
      </c>
      <c r="M166" s="19">
        <v>8.4649999999999999</v>
      </c>
      <c r="N166" s="19">
        <v>49000</v>
      </c>
      <c r="O166" s="19">
        <v>8</v>
      </c>
      <c r="P166" s="19">
        <v>52</v>
      </c>
      <c r="Q166" s="19">
        <v>11</v>
      </c>
      <c r="R166" s="19">
        <v>13</v>
      </c>
      <c r="S166" s="19">
        <v>40.4</v>
      </c>
      <c r="T166" s="19">
        <v>2.9</v>
      </c>
    </row>
    <row r="167" spans="1:20" x14ac:dyDescent="0.2">
      <c r="A167" t="s">
        <v>495</v>
      </c>
      <c r="B167" t="s">
        <v>496</v>
      </c>
      <c r="C167" t="s">
        <v>642</v>
      </c>
      <c r="D167" s="19">
        <v>10656633</v>
      </c>
      <c r="E167" s="21">
        <v>83.7</v>
      </c>
      <c r="F167" s="19">
        <v>65596.663520000002</v>
      </c>
      <c r="G167" s="19">
        <v>407270</v>
      </c>
      <c r="H167" s="19">
        <v>61.267000000000003</v>
      </c>
      <c r="I167" s="19">
        <v>4.9322999999999997</v>
      </c>
      <c r="J167" s="19">
        <v>2.0680000000000001</v>
      </c>
      <c r="K167" s="19">
        <v>5709000</v>
      </c>
      <c r="L167" s="19">
        <v>624</v>
      </c>
      <c r="M167" s="19">
        <v>5.9560000000000004</v>
      </c>
      <c r="N167" s="19">
        <v>2417000</v>
      </c>
      <c r="O167" s="19">
        <v>1</v>
      </c>
      <c r="P167" s="19">
        <v>24</v>
      </c>
      <c r="Q167" s="19">
        <v>12</v>
      </c>
      <c r="R167" s="19">
        <v>12</v>
      </c>
      <c r="S167" s="19">
        <v>15.8</v>
      </c>
      <c r="T167" s="19">
        <v>16.100000000000001</v>
      </c>
    </row>
    <row r="168" spans="1:20" x14ac:dyDescent="0.2">
      <c r="A168" t="s">
        <v>498</v>
      </c>
      <c r="B168" t="s">
        <v>499</v>
      </c>
      <c r="C168" t="s">
        <v>641</v>
      </c>
      <c r="D168" s="19">
        <v>1256174</v>
      </c>
      <c r="E168" s="21">
        <v>61.18</v>
      </c>
      <c r="F168" s="19">
        <v>11069.571169999999</v>
      </c>
      <c r="G168" s="19">
        <v>17200</v>
      </c>
      <c r="H168" s="19">
        <v>1.9381999999999999</v>
      </c>
      <c r="I168" s="19">
        <v>94.194999999999993</v>
      </c>
      <c r="J168" s="19">
        <v>1.0680000000000001</v>
      </c>
      <c r="L168" s="19">
        <v>788</v>
      </c>
      <c r="M168" s="19">
        <v>1.153</v>
      </c>
      <c r="N168" s="17">
        <v>0</v>
      </c>
      <c r="O168" s="19">
        <v>9</v>
      </c>
      <c r="P168" s="19">
        <v>5</v>
      </c>
      <c r="Q168" s="19">
        <v>15</v>
      </c>
      <c r="R168" s="19">
        <v>14</v>
      </c>
      <c r="S168" s="19">
        <v>4.2</v>
      </c>
    </row>
    <row r="169" spans="1:20" x14ac:dyDescent="0.2">
      <c r="A169" t="s">
        <v>501</v>
      </c>
      <c r="B169" t="s">
        <v>502</v>
      </c>
      <c r="C169" t="s">
        <v>641</v>
      </c>
      <c r="D169" s="19">
        <v>132779</v>
      </c>
      <c r="E169" s="21">
        <v>75.510000000000005</v>
      </c>
      <c r="F169" s="19">
        <v>30802.63006</v>
      </c>
      <c r="G169" s="19">
        <v>460</v>
      </c>
      <c r="H169" s="19">
        <v>27.736999999999998</v>
      </c>
      <c r="I169" s="19">
        <v>6.5693000000000001</v>
      </c>
      <c r="J169" s="19">
        <v>1.37E-2</v>
      </c>
      <c r="L169" s="19">
        <v>2330</v>
      </c>
      <c r="M169" s="19">
        <v>7.3769999999999998</v>
      </c>
      <c r="N169" s="19">
        <v>2000</v>
      </c>
      <c r="O169" s="19">
        <v>7</v>
      </c>
      <c r="P169" s="19">
        <v>41</v>
      </c>
      <c r="Q169" s="19">
        <v>13</v>
      </c>
      <c r="R169" s="19">
        <v>61</v>
      </c>
      <c r="S169" s="19">
        <v>68.099999999999994</v>
      </c>
      <c r="T169" s="19">
        <v>32.6</v>
      </c>
    </row>
    <row r="170" spans="1:20" x14ac:dyDescent="0.2">
      <c r="A170" t="s">
        <v>504</v>
      </c>
      <c r="B170" t="s">
        <v>505</v>
      </c>
      <c r="C170" t="s">
        <v>640</v>
      </c>
      <c r="D170" s="19">
        <v>25620427</v>
      </c>
      <c r="E170" s="21">
        <v>76.760000000000005</v>
      </c>
      <c r="F170" s="19">
        <v>4085.7201100000002</v>
      </c>
      <c r="G170" s="19">
        <v>183630</v>
      </c>
      <c r="H170" s="19">
        <v>3.6718000000000002</v>
      </c>
      <c r="I170" s="19">
        <v>87.528000000000006</v>
      </c>
      <c r="J170" s="19">
        <v>16.760000000000002</v>
      </c>
      <c r="K170" s="19">
        <v>222900</v>
      </c>
      <c r="L170" s="19">
        <v>252</v>
      </c>
      <c r="M170" s="19">
        <v>1.8520000000000001</v>
      </c>
      <c r="N170" s="17">
        <v>0</v>
      </c>
      <c r="O170" s="19">
        <v>15</v>
      </c>
      <c r="P170" s="19">
        <v>64</v>
      </c>
      <c r="Q170" s="19">
        <v>18</v>
      </c>
      <c r="R170" s="19">
        <v>44</v>
      </c>
      <c r="S170" s="19">
        <v>0.7</v>
      </c>
      <c r="T170" s="19">
        <v>0.2</v>
      </c>
    </row>
    <row r="171" spans="1:20" x14ac:dyDescent="0.2">
      <c r="A171" t="s">
        <v>507</v>
      </c>
      <c r="B171" t="s">
        <v>508</v>
      </c>
      <c r="C171" t="s">
        <v>641</v>
      </c>
      <c r="D171" s="19">
        <v>21003705</v>
      </c>
      <c r="E171" s="21">
        <v>58.53</v>
      </c>
      <c r="F171" s="19">
        <v>2645.8119099999999</v>
      </c>
      <c r="G171" s="19">
        <v>1259200</v>
      </c>
      <c r="H171" s="19">
        <v>11.789</v>
      </c>
      <c r="I171" s="19">
        <v>76.421000000000006</v>
      </c>
      <c r="J171" s="19">
        <v>0.87960000000000005</v>
      </c>
      <c r="L171" s="19">
        <v>322</v>
      </c>
      <c r="M171" s="19">
        <v>7.1999999999999995E-2</v>
      </c>
      <c r="N171" s="17">
        <v>0</v>
      </c>
      <c r="O171" s="19">
        <v>16</v>
      </c>
      <c r="P171" s="19">
        <v>1</v>
      </c>
      <c r="Q171" s="19">
        <v>20</v>
      </c>
      <c r="R171" s="19">
        <v>7</v>
      </c>
      <c r="S171" s="19">
        <v>21</v>
      </c>
    </row>
    <row r="172" spans="1:20" x14ac:dyDescent="0.2">
      <c r="A172" t="s">
        <v>510</v>
      </c>
      <c r="B172" t="s">
        <v>511</v>
      </c>
      <c r="C172" t="s">
        <v>641</v>
      </c>
      <c r="D172" s="19">
        <v>9721608</v>
      </c>
      <c r="E172" s="21">
        <v>65.12</v>
      </c>
      <c r="F172" s="19">
        <v>3007.5559600000001</v>
      </c>
      <c r="G172" s="19">
        <v>54390</v>
      </c>
      <c r="H172" s="19">
        <v>2.8250999999999999</v>
      </c>
      <c r="I172" s="19">
        <v>34.081000000000003</v>
      </c>
      <c r="J172" s="19">
        <v>0.223</v>
      </c>
      <c r="K172" s="19">
        <v>8340</v>
      </c>
      <c r="L172" s="19">
        <v>1168</v>
      </c>
      <c r="M172" s="19">
        <v>0.90600000000000003</v>
      </c>
      <c r="N172" s="17">
        <v>0</v>
      </c>
      <c r="O172" s="19">
        <v>16</v>
      </c>
      <c r="P172" s="19">
        <v>67</v>
      </c>
      <c r="Q172" s="19">
        <v>15</v>
      </c>
      <c r="R172" s="19">
        <v>15</v>
      </c>
      <c r="S172" s="19">
        <v>27.9</v>
      </c>
      <c r="T172" s="19">
        <v>0.7</v>
      </c>
    </row>
    <row r="173" spans="1:20" x14ac:dyDescent="0.2">
      <c r="A173" t="s">
        <v>513</v>
      </c>
      <c r="B173" t="s">
        <v>514</v>
      </c>
      <c r="C173" t="s">
        <v>640</v>
      </c>
      <c r="D173" s="19">
        <v>71619863</v>
      </c>
      <c r="E173" s="21">
        <v>78.209999999999994</v>
      </c>
      <c r="F173" s="19">
        <v>22695.946680000001</v>
      </c>
      <c r="G173" s="19">
        <v>510890</v>
      </c>
      <c r="H173" s="19">
        <v>4.8459000000000003</v>
      </c>
      <c r="I173" s="19">
        <v>90.373999999999995</v>
      </c>
      <c r="J173" s="19">
        <v>57.305999999999997</v>
      </c>
      <c r="K173" s="19">
        <v>476100</v>
      </c>
      <c r="L173" s="19">
        <v>1622</v>
      </c>
      <c r="M173" s="19">
        <v>3.92</v>
      </c>
      <c r="N173" s="19">
        <v>6726000</v>
      </c>
      <c r="O173" s="19">
        <v>64</v>
      </c>
      <c r="P173" s="19">
        <v>153</v>
      </c>
      <c r="Q173" s="19">
        <v>66</v>
      </c>
      <c r="R173" s="19">
        <v>232</v>
      </c>
      <c r="S173" s="19">
        <v>18.399999999999999</v>
      </c>
      <c r="T173" s="19">
        <v>5</v>
      </c>
    </row>
    <row r="174" spans="1:20" x14ac:dyDescent="0.2">
      <c r="A174" t="s">
        <v>516</v>
      </c>
      <c r="B174" t="s">
        <v>517</v>
      </c>
      <c r="C174" t="s">
        <v>640</v>
      </c>
      <c r="D174" s="19">
        <v>10786734</v>
      </c>
      <c r="E174" s="21">
        <v>72.2</v>
      </c>
      <c r="F174" s="19">
        <v>5122.38472</v>
      </c>
      <c r="G174" s="19">
        <v>138790</v>
      </c>
      <c r="H174" s="19">
        <v>16.263000000000002</v>
      </c>
      <c r="I174" s="19">
        <v>74.525000000000006</v>
      </c>
      <c r="J174" s="19">
        <v>9.9</v>
      </c>
      <c r="K174" s="19">
        <v>1362000</v>
      </c>
      <c r="L174" s="19">
        <v>691</v>
      </c>
      <c r="M174" s="19">
        <v>1.47</v>
      </c>
      <c r="N174" s="19">
        <v>297000</v>
      </c>
      <c r="O174" s="19">
        <v>7</v>
      </c>
      <c r="P174" s="19">
        <v>7</v>
      </c>
      <c r="Q174" s="19">
        <v>15</v>
      </c>
      <c r="R174" s="19">
        <v>11</v>
      </c>
      <c r="S174" s="19">
        <v>22.6</v>
      </c>
    </row>
    <row r="175" spans="1:20" x14ac:dyDescent="0.2">
      <c r="A175" t="s">
        <v>519</v>
      </c>
      <c r="B175" t="s">
        <v>520</v>
      </c>
      <c r="C175" t="s">
        <v>640</v>
      </c>
      <c r="D175" s="19">
        <v>7618847</v>
      </c>
      <c r="E175" s="21">
        <v>71.510000000000005</v>
      </c>
      <c r="F175" s="19">
        <v>18623.634590000001</v>
      </c>
      <c r="G175" s="19">
        <v>469930</v>
      </c>
      <c r="H175" s="19">
        <v>4.6420000000000003</v>
      </c>
      <c r="I175" s="19">
        <v>92.748999999999995</v>
      </c>
      <c r="J175" s="19">
        <v>17.38</v>
      </c>
      <c r="K175" s="19">
        <v>258</v>
      </c>
      <c r="L175" s="19">
        <v>161</v>
      </c>
      <c r="M175" s="19">
        <v>15.535</v>
      </c>
      <c r="N175" s="19">
        <v>104000</v>
      </c>
      <c r="O175" s="19">
        <v>9</v>
      </c>
      <c r="P175" s="19">
        <v>14</v>
      </c>
      <c r="Q175" s="19">
        <v>19</v>
      </c>
      <c r="R175" s="19">
        <v>4</v>
      </c>
      <c r="S175" s="19">
        <v>4.3</v>
      </c>
      <c r="T175" s="19">
        <v>4.2</v>
      </c>
    </row>
    <row r="176" spans="1:20" x14ac:dyDescent="0.2">
      <c r="A176" t="s">
        <v>522</v>
      </c>
      <c r="B176" t="s">
        <v>523</v>
      </c>
      <c r="C176" t="s">
        <v>640</v>
      </c>
      <c r="D176" s="19">
        <v>1418517</v>
      </c>
      <c r="E176" s="21">
        <v>70.52</v>
      </c>
      <c r="F176" s="19">
        <v>4352.9356200000002</v>
      </c>
      <c r="G176" s="19">
        <v>14870</v>
      </c>
      <c r="H176" s="19">
        <v>0.17065</v>
      </c>
      <c r="I176" s="19">
        <v>91.382000000000005</v>
      </c>
      <c r="J176" s="19">
        <v>1.1719999999999999</v>
      </c>
      <c r="L176" s="19">
        <v>1500</v>
      </c>
      <c r="M176" s="19">
        <v>0.46100000000000002</v>
      </c>
      <c r="N176" s="17">
        <v>0</v>
      </c>
      <c r="O176" s="19">
        <v>6</v>
      </c>
      <c r="P176" s="19">
        <v>34</v>
      </c>
      <c r="Q176" s="19">
        <v>7</v>
      </c>
      <c r="R176" s="19">
        <v>7</v>
      </c>
      <c r="S176" s="19">
        <v>16.100000000000001</v>
      </c>
      <c r="T176" s="19">
        <v>0.7</v>
      </c>
    </row>
    <row r="177" spans="1:20" x14ac:dyDescent="0.2">
      <c r="A177" t="s">
        <v>525</v>
      </c>
      <c r="B177" t="s">
        <v>526</v>
      </c>
      <c r="C177" t="s">
        <v>640</v>
      </c>
      <c r="D177" s="19">
        <v>103742</v>
      </c>
      <c r="E177" s="21">
        <v>72.19</v>
      </c>
      <c r="F177" s="19">
        <v>7839.2291800000003</v>
      </c>
      <c r="G177" s="19">
        <v>720</v>
      </c>
      <c r="M177" s="19">
        <v>1.419</v>
      </c>
      <c r="N177" s="19">
        <v>4000</v>
      </c>
      <c r="O177" s="19">
        <v>2</v>
      </c>
      <c r="P177" s="19">
        <v>29</v>
      </c>
      <c r="Q177" s="19">
        <v>5</v>
      </c>
      <c r="R177" s="19">
        <v>10</v>
      </c>
      <c r="S177" s="19">
        <v>13.3</v>
      </c>
      <c r="T177" s="19">
        <v>0.1</v>
      </c>
    </row>
    <row r="178" spans="1:20" x14ac:dyDescent="0.2">
      <c r="A178" t="s">
        <v>528</v>
      </c>
      <c r="B178" t="s">
        <v>529</v>
      </c>
      <c r="C178" t="s">
        <v>643</v>
      </c>
      <c r="D178" s="19">
        <v>1511155</v>
      </c>
      <c r="E178" s="21">
        <v>73.599999999999994</v>
      </c>
      <c r="F178" s="19">
        <v>33144.880319999997</v>
      </c>
      <c r="G178" s="19">
        <v>5130</v>
      </c>
      <c r="H178" s="19">
        <v>33.637999999999998</v>
      </c>
      <c r="I178" s="19">
        <v>4.3579999999999997</v>
      </c>
      <c r="J178" s="19">
        <v>0.38319999999999999</v>
      </c>
      <c r="L178" s="19">
        <v>2200</v>
      </c>
      <c r="M178" s="19">
        <v>17.72</v>
      </c>
      <c r="N178" s="19">
        <v>62400</v>
      </c>
      <c r="O178" s="19">
        <v>3</v>
      </c>
      <c r="P178" s="19">
        <v>62</v>
      </c>
      <c r="Q178" s="19">
        <v>5</v>
      </c>
      <c r="R178" s="19">
        <v>58</v>
      </c>
      <c r="S178" s="19">
        <v>30.6</v>
      </c>
      <c r="T178" s="19">
        <v>0.1</v>
      </c>
    </row>
    <row r="179" spans="1:20" x14ac:dyDescent="0.2">
      <c r="A179" t="s">
        <v>531</v>
      </c>
      <c r="B179" t="s">
        <v>532</v>
      </c>
      <c r="C179" t="s">
        <v>641</v>
      </c>
      <c r="D179" s="19">
        <v>12348573</v>
      </c>
      <c r="E179" s="21">
        <v>76.19</v>
      </c>
      <c r="F179" s="19">
        <v>13135.58265</v>
      </c>
      <c r="G179" s="19">
        <v>155360</v>
      </c>
      <c r="H179" s="19">
        <v>1.7255</v>
      </c>
      <c r="I179" s="19">
        <v>75.542000000000002</v>
      </c>
      <c r="J179" s="19">
        <v>3.5874000000000001</v>
      </c>
      <c r="K179" s="19">
        <v>4299</v>
      </c>
      <c r="L179" s="19">
        <v>207</v>
      </c>
      <c r="M179" s="19">
        <v>2.2610000000000001</v>
      </c>
      <c r="N179" s="17">
        <v>0</v>
      </c>
      <c r="O179" s="19">
        <v>15</v>
      </c>
      <c r="P179" s="19">
        <v>58</v>
      </c>
      <c r="Q179" s="19">
        <v>14</v>
      </c>
      <c r="R179" s="19">
        <v>12</v>
      </c>
      <c r="S179" s="19">
        <v>7.9</v>
      </c>
      <c r="T179" s="19">
        <v>1.1000000000000001</v>
      </c>
    </row>
    <row r="180" spans="1:20" x14ac:dyDescent="0.2">
      <c r="A180" t="s">
        <v>534</v>
      </c>
      <c r="B180" t="s">
        <v>535</v>
      </c>
      <c r="C180" t="s">
        <v>642</v>
      </c>
      <c r="D180" s="19">
        <v>87685426</v>
      </c>
      <c r="E180" s="21">
        <v>77.28</v>
      </c>
      <c r="F180" s="19">
        <v>36992.965790000002</v>
      </c>
      <c r="G180" s="19">
        <v>769630</v>
      </c>
      <c r="H180" s="19">
        <v>2.0083000000000002</v>
      </c>
      <c r="I180" s="19">
        <v>86.927000000000007</v>
      </c>
      <c r="J180" s="19">
        <v>64.567999999999998</v>
      </c>
      <c r="K180" s="19">
        <v>4454000</v>
      </c>
      <c r="L180" s="19">
        <v>593</v>
      </c>
      <c r="M180" s="19">
        <v>4.9459999999999997</v>
      </c>
      <c r="N180" s="19">
        <v>913000</v>
      </c>
      <c r="O180" s="19">
        <v>18</v>
      </c>
      <c r="P180" s="19">
        <v>148</v>
      </c>
      <c r="Q180" s="19">
        <v>22</v>
      </c>
      <c r="R180" s="19">
        <v>135</v>
      </c>
      <c r="S180" s="19">
        <v>7</v>
      </c>
      <c r="T180" s="19">
        <v>1.7</v>
      </c>
    </row>
    <row r="181" spans="1:20" x14ac:dyDescent="0.2">
      <c r="A181" t="s">
        <v>537</v>
      </c>
      <c r="B181" t="s">
        <v>538</v>
      </c>
      <c r="C181" t="s">
        <v>640</v>
      </c>
      <c r="D181" s="19">
        <v>9492</v>
      </c>
      <c r="E181" s="21">
        <v>63.77</v>
      </c>
      <c r="F181" s="19">
        <v>6632.5359699999999</v>
      </c>
      <c r="G181" s="19">
        <v>30</v>
      </c>
      <c r="M181" s="19">
        <v>1.091</v>
      </c>
      <c r="N181" s="17">
        <v>0</v>
      </c>
      <c r="O181" s="19">
        <v>2</v>
      </c>
      <c r="P181" s="19">
        <v>21</v>
      </c>
      <c r="Q181" s="17">
        <v>0</v>
      </c>
      <c r="R181" s="17">
        <v>0</v>
      </c>
      <c r="S181" s="19">
        <v>20.2</v>
      </c>
      <c r="T181" s="17">
        <v>0</v>
      </c>
    </row>
    <row r="182" spans="1:20" x14ac:dyDescent="0.2">
      <c r="A182" t="s">
        <v>540</v>
      </c>
      <c r="B182" t="s">
        <v>541</v>
      </c>
      <c r="C182" t="s">
        <v>641</v>
      </c>
      <c r="D182" s="19">
        <v>70545865</v>
      </c>
      <c r="E182" s="21">
        <v>70.02</v>
      </c>
      <c r="F182" s="19">
        <v>3924.4018299999998</v>
      </c>
      <c r="G182" s="19">
        <v>885800</v>
      </c>
      <c r="H182" s="19">
        <v>0.48225000000000001</v>
      </c>
      <c r="I182" s="19">
        <v>89.352000000000004</v>
      </c>
      <c r="J182" s="19">
        <v>5.1840000000000002</v>
      </c>
      <c r="K182" s="19">
        <v>221300</v>
      </c>
      <c r="L182" s="19">
        <v>1071</v>
      </c>
      <c r="M182" s="19">
        <v>0.311</v>
      </c>
      <c r="N182" s="17">
        <v>0</v>
      </c>
      <c r="O182" s="19">
        <v>45</v>
      </c>
      <c r="P182" s="19">
        <v>219</v>
      </c>
      <c r="Q182" s="19">
        <v>46</v>
      </c>
      <c r="R182" s="19">
        <v>1010</v>
      </c>
      <c r="S182" s="19">
        <v>39.9</v>
      </c>
      <c r="T182" s="19">
        <v>2.2999999999999998</v>
      </c>
    </row>
    <row r="183" spans="1:20" x14ac:dyDescent="0.2">
      <c r="A183" t="s">
        <v>543</v>
      </c>
      <c r="B183" t="s">
        <v>544</v>
      </c>
      <c r="C183" t="s">
        <v>641</v>
      </c>
      <c r="D183" s="19">
        <v>51384894</v>
      </c>
      <c r="E183" s="21">
        <v>66.180000000000007</v>
      </c>
      <c r="F183" s="19">
        <v>3047.9948899999999</v>
      </c>
      <c r="G183" s="19">
        <v>200520</v>
      </c>
      <c r="H183" s="19">
        <v>7.8493000000000004</v>
      </c>
      <c r="I183" s="19">
        <v>40.658999999999999</v>
      </c>
      <c r="J183" s="19">
        <v>0.63700000000000001</v>
      </c>
      <c r="L183" s="19">
        <v>1180</v>
      </c>
      <c r="M183" s="19">
        <v>0.183</v>
      </c>
      <c r="N183" s="17">
        <v>0</v>
      </c>
      <c r="O183" s="19">
        <v>32</v>
      </c>
      <c r="P183" s="19">
        <v>62</v>
      </c>
      <c r="Q183" s="19">
        <v>33</v>
      </c>
      <c r="R183" s="19">
        <v>146</v>
      </c>
      <c r="S183" s="19">
        <v>16.100000000000001</v>
      </c>
    </row>
    <row r="184" spans="1:20" x14ac:dyDescent="0.2">
      <c r="A184" t="s">
        <v>546</v>
      </c>
      <c r="B184" t="s">
        <v>547</v>
      </c>
      <c r="C184" t="s">
        <v>642</v>
      </c>
      <c r="D184" s="19">
        <v>38980376</v>
      </c>
      <c r="E184" s="21">
        <v>74.08</v>
      </c>
      <c r="F184" s="19">
        <v>15014.257149999999</v>
      </c>
      <c r="G184" s="19">
        <v>579400</v>
      </c>
      <c r="H184" s="19">
        <v>44.844000000000001</v>
      </c>
      <c r="I184" s="19">
        <v>21.132000000000001</v>
      </c>
      <c r="J184" s="19">
        <v>4.8788999999999998</v>
      </c>
      <c r="K184" s="19">
        <v>1131000</v>
      </c>
      <c r="L184" s="19">
        <v>565</v>
      </c>
      <c r="M184" s="19">
        <v>4.3470000000000004</v>
      </c>
      <c r="N184" s="19">
        <v>59000</v>
      </c>
      <c r="O184" s="19">
        <v>13</v>
      </c>
      <c r="P184" s="19">
        <v>25</v>
      </c>
      <c r="Q184" s="19">
        <v>18</v>
      </c>
      <c r="R184" s="19">
        <v>29</v>
      </c>
      <c r="S184" s="19">
        <v>17.100000000000001</v>
      </c>
      <c r="T184" s="19">
        <v>21.6</v>
      </c>
    </row>
    <row r="185" spans="1:20" x14ac:dyDescent="0.2">
      <c r="A185" t="s">
        <v>549</v>
      </c>
      <c r="B185" t="s">
        <v>550</v>
      </c>
      <c r="C185" t="s">
        <v>643</v>
      </c>
      <c r="D185" s="19">
        <v>3384688</v>
      </c>
      <c r="E185" s="21">
        <v>77.900000000000006</v>
      </c>
      <c r="F185" s="19">
        <v>33757.562449999998</v>
      </c>
      <c r="G185" s="19">
        <v>175020</v>
      </c>
      <c r="H185" s="19">
        <v>13.393000000000001</v>
      </c>
      <c r="I185" s="19">
        <v>77.19</v>
      </c>
      <c r="J185" s="19">
        <v>4.5075000000000003</v>
      </c>
      <c r="K185" s="19">
        <v>745100</v>
      </c>
      <c r="L185" s="19">
        <v>1300</v>
      </c>
      <c r="M185" s="19">
        <v>3.206</v>
      </c>
      <c r="N185" s="19">
        <v>313000</v>
      </c>
      <c r="O185" s="19">
        <v>9</v>
      </c>
      <c r="P185" s="19">
        <v>71</v>
      </c>
      <c r="Q185" s="19">
        <v>22</v>
      </c>
      <c r="R185" s="19">
        <v>22</v>
      </c>
      <c r="S185" s="19">
        <v>3.1</v>
      </c>
      <c r="T185" s="19">
        <v>1.5</v>
      </c>
    </row>
    <row r="186" spans="1:20" x14ac:dyDescent="0.2">
      <c r="A186" t="s">
        <v>552</v>
      </c>
      <c r="B186" t="s">
        <v>553</v>
      </c>
      <c r="C186" t="s">
        <v>643</v>
      </c>
      <c r="D186" s="19">
        <v>347275807</v>
      </c>
      <c r="E186" s="21">
        <v>78.989999999999995</v>
      </c>
      <c r="F186" s="19">
        <v>78388.584610000005</v>
      </c>
      <c r="G186" s="19">
        <v>9147420</v>
      </c>
      <c r="H186" s="19">
        <v>47.198999999999998</v>
      </c>
      <c r="I186" s="19">
        <v>39.658999999999999</v>
      </c>
      <c r="J186" s="19">
        <v>444.29</v>
      </c>
      <c r="K186" s="19">
        <v>22550000</v>
      </c>
      <c r="L186" s="19">
        <v>715</v>
      </c>
      <c r="M186" s="19">
        <v>16.446999999999999</v>
      </c>
      <c r="N186" s="19">
        <v>75300000</v>
      </c>
      <c r="O186" s="19">
        <v>43</v>
      </c>
      <c r="P186" s="19">
        <v>283</v>
      </c>
      <c r="Q186" s="19">
        <v>87</v>
      </c>
      <c r="R186" s="19">
        <v>688</v>
      </c>
      <c r="S186" s="19">
        <v>12.9</v>
      </c>
      <c r="T186" s="19">
        <v>19</v>
      </c>
    </row>
    <row r="187" spans="1:20" x14ac:dyDescent="0.2">
      <c r="A187" t="s">
        <v>555</v>
      </c>
      <c r="B187" t="s">
        <v>556</v>
      </c>
      <c r="C187" t="s">
        <v>640</v>
      </c>
      <c r="D187" s="19">
        <v>37053428</v>
      </c>
      <c r="E187" s="21">
        <v>72.900000000000006</v>
      </c>
      <c r="F187" s="19">
        <v>11127.00974</v>
      </c>
      <c r="G187" s="19">
        <v>440650</v>
      </c>
      <c r="H187" s="19">
        <v>2.6966000000000001</v>
      </c>
      <c r="I187" s="19">
        <v>92.135000000000005</v>
      </c>
      <c r="J187" s="19">
        <v>44.5</v>
      </c>
      <c r="K187" s="19">
        <v>932100</v>
      </c>
      <c r="L187" s="19">
        <v>206</v>
      </c>
      <c r="M187" s="19">
        <v>2.8039999999999998</v>
      </c>
      <c r="N187" s="19">
        <v>73000</v>
      </c>
      <c r="O187" s="19">
        <v>10</v>
      </c>
      <c r="P187" s="19">
        <v>9</v>
      </c>
      <c r="Q187" s="19">
        <v>19</v>
      </c>
      <c r="R187" s="19">
        <v>16</v>
      </c>
      <c r="S187" s="19">
        <v>14.1</v>
      </c>
    </row>
    <row r="188" spans="1:20" x14ac:dyDescent="0.2">
      <c r="A188" t="s">
        <v>558</v>
      </c>
      <c r="B188" t="s">
        <v>559</v>
      </c>
      <c r="C188" t="s">
        <v>643</v>
      </c>
      <c r="D188" s="19">
        <v>99924</v>
      </c>
      <c r="E188" s="21">
        <v>75.63</v>
      </c>
      <c r="F188" s="19">
        <v>20092.365399999999</v>
      </c>
      <c r="G188" s="19">
        <v>390</v>
      </c>
      <c r="H188" s="19">
        <v>2.3519999999999999E-2</v>
      </c>
      <c r="I188" s="17" t="e">
        <v>#REF!</v>
      </c>
      <c r="J188" s="19">
        <v>8.5000000000000006E-3</v>
      </c>
      <c r="L188" s="19">
        <v>1583</v>
      </c>
      <c r="M188" s="19">
        <v>2.048</v>
      </c>
      <c r="N188" s="17">
        <v>0</v>
      </c>
      <c r="O188" s="19">
        <v>2</v>
      </c>
      <c r="P188" s="19">
        <v>48</v>
      </c>
      <c r="Q188" s="19">
        <v>4</v>
      </c>
      <c r="R188" s="19">
        <v>8</v>
      </c>
      <c r="S188" s="19">
        <v>22.6</v>
      </c>
      <c r="T188" s="19">
        <v>0.2</v>
      </c>
    </row>
    <row r="189" spans="1:20" x14ac:dyDescent="0.2">
      <c r="A189" t="s">
        <v>561</v>
      </c>
      <c r="B189" t="s">
        <v>562</v>
      </c>
      <c r="C189" t="s">
        <v>643</v>
      </c>
      <c r="D189" s="19">
        <v>28516896</v>
      </c>
      <c r="E189" s="21">
        <v>72.3</v>
      </c>
      <c r="F189" s="19">
        <v>8899.0720000000001</v>
      </c>
      <c r="G189" s="19">
        <v>882050</v>
      </c>
      <c r="H189" s="19">
        <v>3.5061</v>
      </c>
      <c r="I189" s="19">
        <v>73.852000000000004</v>
      </c>
      <c r="J189" s="19">
        <v>22.626000000000001</v>
      </c>
      <c r="K189" s="19">
        <v>6602000</v>
      </c>
      <c r="L189" s="19">
        <v>2044</v>
      </c>
      <c r="M189" s="19">
        <v>0.67300000000000004</v>
      </c>
      <c r="N189" s="19">
        <v>45746000</v>
      </c>
      <c r="O189" s="19">
        <v>37</v>
      </c>
      <c r="P189" s="19">
        <v>105</v>
      </c>
      <c r="Q189" s="19">
        <v>43</v>
      </c>
      <c r="R189" s="19">
        <v>463</v>
      </c>
      <c r="S189" s="19">
        <v>56.8</v>
      </c>
      <c r="T189" s="19">
        <v>4.4000000000000004</v>
      </c>
    </row>
    <row r="190" spans="1:20" x14ac:dyDescent="0.2">
      <c r="A190" t="s">
        <v>564</v>
      </c>
      <c r="B190" t="s">
        <v>565</v>
      </c>
      <c r="C190" t="s">
        <v>640</v>
      </c>
      <c r="D190" s="19">
        <v>101598527</v>
      </c>
      <c r="E190" s="21">
        <v>76.510000000000005</v>
      </c>
      <c r="F190" s="19">
        <v>15429.33526</v>
      </c>
      <c r="G190" s="19">
        <v>313429</v>
      </c>
      <c r="H190" s="19">
        <v>3.7473999999999998</v>
      </c>
      <c r="I190" s="19">
        <v>94.781999999999996</v>
      </c>
      <c r="J190" s="19">
        <v>82.03</v>
      </c>
      <c r="K190" s="19">
        <v>2369000</v>
      </c>
      <c r="L190" s="19">
        <v>1821</v>
      </c>
      <c r="M190" s="19">
        <v>2.1680000000000001</v>
      </c>
      <c r="N190" s="19">
        <v>83000</v>
      </c>
      <c r="O190" s="19">
        <v>63</v>
      </c>
      <c r="P190" s="19">
        <v>141</v>
      </c>
      <c r="Q190" s="19">
        <v>51</v>
      </c>
      <c r="R190" s="19">
        <v>308</v>
      </c>
      <c r="S190" s="19">
        <v>7.6</v>
      </c>
      <c r="T190" s="19">
        <v>0.5</v>
      </c>
    </row>
    <row r="191" spans="1:20" x14ac:dyDescent="0.2">
      <c r="A191" t="s">
        <v>567</v>
      </c>
      <c r="B191" t="s">
        <v>568</v>
      </c>
      <c r="C191" t="s">
        <v>640</v>
      </c>
      <c r="D191" s="19">
        <v>335169</v>
      </c>
      <c r="E191" s="21">
        <v>70.790000000000006</v>
      </c>
      <c r="F191" s="19">
        <v>3188.8000200000001</v>
      </c>
      <c r="G191" s="19">
        <v>12190</v>
      </c>
      <c r="L191" s="19">
        <v>2000</v>
      </c>
      <c r="M191" s="19">
        <v>0.57199999999999995</v>
      </c>
      <c r="N191" s="17">
        <v>0</v>
      </c>
      <c r="O191" s="19">
        <v>8</v>
      </c>
      <c r="P191" s="19">
        <v>30</v>
      </c>
      <c r="Q191" s="19">
        <v>8</v>
      </c>
      <c r="R191" s="19">
        <v>15</v>
      </c>
      <c r="S191" s="19">
        <v>4.8</v>
      </c>
      <c r="T191" s="17">
        <v>0</v>
      </c>
    </row>
    <row r="192" spans="1:20" x14ac:dyDescent="0.2">
      <c r="A192" t="s">
        <v>570</v>
      </c>
      <c r="B192" t="s">
        <v>571</v>
      </c>
      <c r="C192" t="s">
        <v>640</v>
      </c>
      <c r="D192" s="19">
        <v>219306</v>
      </c>
      <c r="E192" s="21">
        <v>73.010000000000005</v>
      </c>
      <c r="F192" s="19">
        <v>7412.5178900000001</v>
      </c>
      <c r="G192" s="19">
        <v>2780</v>
      </c>
      <c r="L192" s="19">
        <v>2880</v>
      </c>
      <c r="M192" s="19">
        <v>1.429</v>
      </c>
      <c r="N192" s="19">
        <v>20</v>
      </c>
      <c r="O192" s="19">
        <v>2</v>
      </c>
      <c r="P192" s="19">
        <v>26</v>
      </c>
      <c r="Q192" s="19">
        <v>5</v>
      </c>
      <c r="R192" s="19">
        <v>10</v>
      </c>
      <c r="S192" s="19">
        <v>7.9</v>
      </c>
      <c r="T192" s="19">
        <v>0.2</v>
      </c>
    </row>
    <row r="193" spans="1:20" x14ac:dyDescent="0.2">
      <c r="A193" t="s">
        <v>573</v>
      </c>
      <c r="B193" t="s">
        <v>574</v>
      </c>
      <c r="C193" t="s">
        <v>640</v>
      </c>
      <c r="D193" s="19">
        <v>41773878</v>
      </c>
      <c r="E193" s="21">
        <v>72.11</v>
      </c>
      <c r="F193" s="19">
        <v>1721.8914299999999</v>
      </c>
      <c r="G193" s="19">
        <v>527970</v>
      </c>
      <c r="H193" s="19">
        <v>1.8232999999999999</v>
      </c>
      <c r="I193" s="19">
        <v>90.742999999999995</v>
      </c>
      <c r="J193" s="19">
        <v>3.5649999999999999</v>
      </c>
      <c r="L193" s="19">
        <v>167</v>
      </c>
      <c r="M193" s="19">
        <v>0.39500000000000002</v>
      </c>
      <c r="N193" s="17">
        <v>0</v>
      </c>
      <c r="O193" s="19">
        <v>12</v>
      </c>
      <c r="P193" s="19">
        <v>67</v>
      </c>
      <c r="Q193" s="19">
        <v>17</v>
      </c>
      <c r="R193" s="19">
        <v>165</v>
      </c>
      <c r="S193" s="19">
        <v>1.1000000000000001</v>
      </c>
      <c r="T193" s="19">
        <v>0.4</v>
      </c>
    </row>
    <row r="194" spans="1:20" x14ac:dyDescent="0.2">
      <c r="A194" t="s">
        <v>576</v>
      </c>
      <c r="B194" t="s">
        <v>577</v>
      </c>
      <c r="C194" t="s">
        <v>641</v>
      </c>
      <c r="D194" s="19">
        <v>64747319</v>
      </c>
      <c r="E194" s="21">
        <v>67.099999999999994</v>
      </c>
      <c r="F194" s="19">
        <v>13889.238880000001</v>
      </c>
      <c r="G194" s="19">
        <v>1213090</v>
      </c>
      <c r="H194" s="19">
        <v>23.16</v>
      </c>
      <c r="I194" s="19">
        <v>59.4</v>
      </c>
      <c r="J194" s="19">
        <v>19.931000000000001</v>
      </c>
      <c r="K194" s="19">
        <v>183800</v>
      </c>
      <c r="L194" s="19">
        <v>495</v>
      </c>
      <c r="M194" s="19">
        <v>5.1790000000000003</v>
      </c>
      <c r="N194" s="19">
        <v>947000</v>
      </c>
      <c r="O194" s="19">
        <v>33</v>
      </c>
      <c r="P194" s="19">
        <v>153</v>
      </c>
      <c r="Q194" s="19">
        <v>54</v>
      </c>
      <c r="R194" s="19">
        <v>428</v>
      </c>
      <c r="S194" s="19">
        <v>9.6</v>
      </c>
      <c r="T194" s="19">
        <v>15.4</v>
      </c>
    </row>
    <row r="195" spans="1:20" x14ac:dyDescent="0.2">
      <c r="A195" t="s">
        <v>579</v>
      </c>
      <c r="B195" t="s">
        <v>580</v>
      </c>
      <c r="C195" t="s">
        <v>641</v>
      </c>
      <c r="D195" s="19">
        <v>21913874</v>
      </c>
      <c r="E195" s="21">
        <v>62.06</v>
      </c>
      <c r="F195" s="19">
        <v>3944.4638300000001</v>
      </c>
      <c r="G195" s="19">
        <v>743390</v>
      </c>
      <c r="H195" s="19">
        <v>8.2697000000000003</v>
      </c>
      <c r="I195" s="19">
        <v>73.281999999999996</v>
      </c>
      <c r="J195" s="19">
        <v>1.5720000000000001</v>
      </c>
      <c r="K195" s="19">
        <v>969300</v>
      </c>
      <c r="L195" s="19">
        <v>1020</v>
      </c>
      <c r="M195" s="19">
        <v>0.42399999999999999</v>
      </c>
      <c r="N195" s="17">
        <v>0</v>
      </c>
      <c r="O195" s="19">
        <v>13</v>
      </c>
      <c r="P195" s="19">
        <v>26</v>
      </c>
      <c r="Q195" s="19">
        <v>22</v>
      </c>
      <c r="R195" s="19">
        <v>57</v>
      </c>
      <c r="S195" s="19">
        <v>41.3</v>
      </c>
    </row>
    <row r="196" spans="1:20" x14ac:dyDescent="0.2">
      <c r="A196" t="s">
        <v>582</v>
      </c>
      <c r="B196" t="s">
        <v>583</v>
      </c>
      <c r="C196" t="s">
        <v>641</v>
      </c>
      <c r="D196" s="19">
        <v>16950795</v>
      </c>
      <c r="E196" s="21">
        <v>67.14</v>
      </c>
      <c r="F196" s="19">
        <v>3675.5705800000001</v>
      </c>
      <c r="G196" s="19">
        <v>386850</v>
      </c>
      <c r="H196" s="19">
        <v>1.657</v>
      </c>
      <c r="I196" s="19">
        <v>87.2</v>
      </c>
      <c r="J196" s="19">
        <v>4.9097</v>
      </c>
      <c r="K196" s="19">
        <v>349400</v>
      </c>
      <c r="L196" s="19">
        <v>657</v>
      </c>
      <c r="M196" s="19">
        <v>0.80400000000000005</v>
      </c>
      <c r="N196" s="19">
        <v>801000</v>
      </c>
      <c r="O196" s="19">
        <v>10</v>
      </c>
      <c r="P196" s="19">
        <v>5</v>
      </c>
      <c r="Q196" s="19">
        <v>22</v>
      </c>
      <c r="R196" s="19">
        <v>80</v>
      </c>
      <c r="S196" s="19">
        <v>28.3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6539C-62D8-7E4E-8BD1-64D1DA82921F}">
  <dimension ref="A1:P25"/>
  <sheetViews>
    <sheetView topLeftCell="A5" zoomScale="160" zoomScaleNormal="160" workbookViewId="0">
      <selection activeCell="A10" sqref="A10"/>
    </sheetView>
  </sheetViews>
  <sheetFormatPr baseColWidth="10" defaultRowHeight="16" x14ac:dyDescent="0.2"/>
  <cols>
    <col min="1" max="1" width="19" customWidth="1"/>
    <col min="2" max="2" width="51" customWidth="1"/>
    <col min="3" max="3" width="16.5" customWidth="1"/>
  </cols>
  <sheetData>
    <row r="1" spans="1:16" x14ac:dyDescent="0.2">
      <c r="B1" s="1" t="s">
        <v>596</v>
      </c>
      <c r="C1" s="1" t="s">
        <v>597</v>
      </c>
      <c r="D1" s="1" t="s">
        <v>616</v>
      </c>
      <c r="E1" s="1" t="s">
        <v>628</v>
      </c>
    </row>
    <row r="2" spans="1:16" x14ac:dyDescent="0.2">
      <c r="A2" s="3" t="s">
        <v>0</v>
      </c>
      <c r="B2" s="12" t="s">
        <v>602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x14ac:dyDescent="0.2">
      <c r="A3" s="3" t="s">
        <v>1</v>
      </c>
      <c r="B3" t="s">
        <v>603</v>
      </c>
    </row>
    <row r="4" spans="1:16" x14ac:dyDescent="0.2">
      <c r="A4" s="3" t="s">
        <v>634</v>
      </c>
      <c r="B4" t="s">
        <v>635</v>
      </c>
    </row>
    <row r="5" spans="1:16" x14ac:dyDescent="0.2">
      <c r="A5" s="3" t="s">
        <v>636</v>
      </c>
      <c r="B5" t="s">
        <v>604</v>
      </c>
      <c r="C5" t="s">
        <v>617</v>
      </c>
      <c r="D5">
        <v>2025</v>
      </c>
      <c r="E5" t="s">
        <v>629</v>
      </c>
    </row>
    <row r="6" spans="1:16" x14ac:dyDescent="0.2">
      <c r="A6" s="3" t="s">
        <v>637</v>
      </c>
      <c r="B6" t="s">
        <v>615</v>
      </c>
      <c r="C6" t="s">
        <v>616</v>
      </c>
      <c r="D6">
        <v>2025</v>
      </c>
      <c r="E6" t="s">
        <v>629</v>
      </c>
    </row>
    <row r="7" spans="1:16" x14ac:dyDescent="0.2">
      <c r="A7" s="3" t="s">
        <v>585</v>
      </c>
      <c r="B7" t="s">
        <v>605</v>
      </c>
      <c r="C7" t="s">
        <v>618</v>
      </c>
      <c r="D7">
        <v>2025</v>
      </c>
      <c r="E7" t="s">
        <v>629</v>
      </c>
    </row>
    <row r="8" spans="1:16" x14ac:dyDescent="0.2">
      <c r="A8" s="2" t="s">
        <v>598</v>
      </c>
      <c r="B8" t="s">
        <v>606</v>
      </c>
      <c r="C8" t="s">
        <v>619</v>
      </c>
      <c r="D8">
        <v>2025</v>
      </c>
      <c r="E8" t="s">
        <v>629</v>
      </c>
    </row>
    <row r="9" spans="1:16" x14ac:dyDescent="0.2">
      <c r="A9" s="4" t="s">
        <v>586</v>
      </c>
      <c r="B9" t="s">
        <v>623</v>
      </c>
      <c r="C9" t="s">
        <v>621</v>
      </c>
      <c r="D9">
        <v>2022</v>
      </c>
      <c r="E9" t="s">
        <v>629</v>
      </c>
    </row>
    <row r="10" spans="1:16" x14ac:dyDescent="0.2">
      <c r="A10" s="4" t="s">
        <v>587</v>
      </c>
      <c r="B10" t="s">
        <v>624</v>
      </c>
      <c r="C10" t="s">
        <v>621</v>
      </c>
      <c r="D10">
        <v>2022</v>
      </c>
      <c r="E10" t="s">
        <v>629</v>
      </c>
    </row>
    <row r="11" spans="1:16" x14ac:dyDescent="0.2">
      <c r="A11" s="4" t="s">
        <v>639</v>
      </c>
      <c r="B11" t="s">
        <v>625</v>
      </c>
      <c r="C11" t="s">
        <v>626</v>
      </c>
      <c r="D11">
        <v>2022</v>
      </c>
      <c r="E11" t="s">
        <v>629</v>
      </c>
    </row>
    <row r="12" spans="1:16" x14ac:dyDescent="0.2">
      <c r="A12" s="4" t="s">
        <v>599</v>
      </c>
      <c r="B12" t="s">
        <v>633</v>
      </c>
      <c r="C12" t="s">
        <v>632</v>
      </c>
      <c r="D12">
        <v>2011</v>
      </c>
      <c r="E12" t="s">
        <v>629</v>
      </c>
    </row>
    <row r="13" spans="1:16" x14ac:dyDescent="0.2">
      <c r="A13" s="5" t="s">
        <v>588</v>
      </c>
      <c r="B13" t="s">
        <v>607</v>
      </c>
      <c r="C13" t="s">
        <v>620</v>
      </c>
      <c r="D13">
        <v>2022</v>
      </c>
      <c r="E13" t="s">
        <v>629</v>
      </c>
    </row>
    <row r="14" spans="1:16" x14ac:dyDescent="0.2">
      <c r="A14" s="5" t="s">
        <v>638</v>
      </c>
      <c r="B14" t="s">
        <v>630</v>
      </c>
      <c r="C14" t="s">
        <v>631</v>
      </c>
      <c r="D14">
        <v>2022</v>
      </c>
      <c r="E14" t="s">
        <v>629</v>
      </c>
    </row>
    <row r="15" spans="1:16" x14ac:dyDescent="0.2">
      <c r="A15" s="6" t="s">
        <v>589</v>
      </c>
      <c r="B15" t="s">
        <v>608</v>
      </c>
      <c r="C15" t="s">
        <v>627</v>
      </c>
      <c r="D15">
        <v>2017</v>
      </c>
      <c r="E15" t="s">
        <v>629</v>
      </c>
    </row>
    <row r="16" spans="1:16" x14ac:dyDescent="0.2">
      <c r="A16" s="6" t="s">
        <v>590</v>
      </c>
      <c r="B16" t="s">
        <v>609</v>
      </c>
      <c r="C16" t="s">
        <v>621</v>
      </c>
      <c r="D16">
        <v>2022</v>
      </c>
      <c r="E16" t="s">
        <v>629</v>
      </c>
    </row>
    <row r="17" spans="1:5" x14ac:dyDescent="0.2">
      <c r="A17" s="6" t="s">
        <v>591</v>
      </c>
      <c r="B17" t="s">
        <v>610</v>
      </c>
      <c r="C17" t="s">
        <v>621</v>
      </c>
      <c r="D17">
        <v>2022</v>
      </c>
      <c r="E17" t="s">
        <v>629</v>
      </c>
    </row>
    <row r="18" spans="1:5" x14ac:dyDescent="0.2">
      <c r="A18" s="6" t="s">
        <v>592</v>
      </c>
      <c r="B18" t="s">
        <v>611</v>
      </c>
      <c r="C18" t="s">
        <v>621</v>
      </c>
      <c r="D18">
        <v>2022</v>
      </c>
      <c r="E18" t="s">
        <v>629</v>
      </c>
    </row>
    <row r="19" spans="1:5" x14ac:dyDescent="0.2">
      <c r="A19" s="6" t="s">
        <v>622</v>
      </c>
      <c r="B19" s="12" t="s">
        <v>612</v>
      </c>
      <c r="C19" t="s">
        <v>621</v>
      </c>
      <c r="D19">
        <v>2022</v>
      </c>
      <c r="E19" t="s">
        <v>629</v>
      </c>
    </row>
    <row r="20" spans="1:5" x14ac:dyDescent="0.2">
      <c r="A20" s="6" t="s">
        <v>594</v>
      </c>
      <c r="B20" t="s">
        <v>613</v>
      </c>
      <c r="C20" t="s">
        <v>621</v>
      </c>
      <c r="D20">
        <v>2025</v>
      </c>
      <c r="E20" t="s">
        <v>629</v>
      </c>
    </row>
    <row r="21" spans="1:5" x14ac:dyDescent="0.2">
      <c r="A21" s="6" t="s">
        <v>595</v>
      </c>
      <c r="B21" t="s">
        <v>614</v>
      </c>
      <c r="C21" t="s">
        <v>621</v>
      </c>
      <c r="D21">
        <v>2025</v>
      </c>
      <c r="E21" t="s">
        <v>629</v>
      </c>
    </row>
    <row r="24" spans="1:5" s="10" customFormat="1" ht="14" x14ac:dyDescent="0.2">
      <c r="A24" s="9" t="s">
        <v>600</v>
      </c>
    </row>
    <row r="25" spans="1:5" s="8" customFormat="1" ht="15" x14ac:dyDescent="0.2">
      <c r="A25" s="11" t="s">
        <v>601</v>
      </c>
    </row>
  </sheetData>
  <hyperlinks>
    <hyperlink ref="A25" r:id="rId1" display="https://www.gapminder.org/" xr:uid="{2282E714-83A7-C94B-873B-CE0A874F68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clean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Lehmann</cp:lastModifiedBy>
  <dcterms:created xsi:type="dcterms:W3CDTF">2026-09-09T11:21:38Z</dcterms:created>
  <dcterms:modified xsi:type="dcterms:W3CDTF">2026-09-10T13:24:32Z</dcterms:modified>
</cp:coreProperties>
</file>